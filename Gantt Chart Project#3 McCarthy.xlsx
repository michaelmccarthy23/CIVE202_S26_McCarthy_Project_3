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98786439_nebraska_edu/Documents/Spring 26/CIVE 202/Project 3/"/>
    </mc:Choice>
  </mc:AlternateContent>
  <xr:revisionPtr revIDLastSave="465" documentId="8_{4344D8BC-2D79-4634-AB23-B78B4BFCD46F}" xr6:coauthVersionLast="47" xr6:coauthVersionMax="47" xr10:uidLastSave="{7C69D7B7-8B62-4F03-939C-48FED77D71BE}"/>
  <bookViews>
    <workbookView xWindow="-28920" yWindow="-5175" windowWidth="29040" windowHeight="1572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E25" i="11"/>
  <c r="F30" i="11"/>
  <c r="F29" i="11"/>
  <c r="E27" i="11"/>
  <c r="F27" i="11" s="1"/>
  <c r="F31" i="11" s="1"/>
  <c r="AI1" i="11"/>
  <c r="Q1" i="11"/>
  <c r="E9" i="11" s="1"/>
  <c r="E29" i="11" s="1"/>
  <c r="H7" i="11"/>
  <c r="E30" i="11" l="1"/>
  <c r="F9" i="11"/>
  <c r="E10" i="11" s="1"/>
  <c r="F10" i="11" s="1"/>
  <c r="E11" i="11" s="1"/>
  <c r="F11" i="11" s="1"/>
  <c r="E12" i="11" s="1"/>
  <c r="F12" i="11" s="1"/>
  <c r="E13" i="11" s="1"/>
  <c r="E26" i="11"/>
  <c r="F26" i="11" s="1"/>
  <c r="I5" i="11"/>
  <c r="H33" i="11"/>
  <c r="H28" i="11"/>
  <c r="H21" i="11"/>
  <c r="H15" i="11"/>
  <c r="H8" i="11"/>
  <c r="F13" i="11" l="1"/>
  <c r="E14" i="11" s="1"/>
  <c r="F14" i="11" s="1"/>
  <c r="E16" i="11"/>
  <c r="E32" i="11"/>
  <c r="F32" i="11" s="1"/>
  <c r="H9" i="11"/>
  <c r="I6" i="11"/>
  <c r="F16" i="11" l="1"/>
  <c r="E17" i="11" s="1"/>
  <c r="F17" i="11" s="1"/>
  <c r="E18" i="11" s="1"/>
  <c r="F18" i="11" s="1"/>
  <c r="E19" i="11" s="1"/>
  <c r="F19" i="11" s="1"/>
  <c r="E31" i="11"/>
  <c r="H32" i="11"/>
  <c r="J5" i="11"/>
  <c r="K5" i="11" s="1"/>
  <c r="L5" i="11" s="1"/>
  <c r="M5" i="11" s="1"/>
  <c r="N5" i="11" s="1"/>
  <c r="O5" i="11" s="1"/>
  <c r="P5" i="11" s="1"/>
  <c r="I4" i="11"/>
  <c r="H29" i="11" l="1"/>
  <c r="H14" i="11"/>
  <c r="P4" i="11"/>
  <c r="Q5" i="11"/>
  <c r="R5" i="11" s="1"/>
  <c r="S5" i="11" s="1"/>
  <c r="T5" i="11" s="1"/>
  <c r="U5" i="11" s="1"/>
  <c r="V5" i="11" s="1"/>
  <c r="W5" i="11" s="1"/>
  <c r="J6" i="11"/>
  <c r="H16" i="11" l="1"/>
  <c r="W4" i="11"/>
  <c r="X5" i="11"/>
  <c r="Y5" i="11" s="1"/>
  <c r="Z5" i="11" s="1"/>
  <c r="AA5" i="11" s="1"/>
  <c r="AB5" i="11" s="1"/>
  <c r="AC5" i="11" s="1"/>
  <c r="AD5" i="11" s="1"/>
  <c r="K6" i="11"/>
  <c r="H18" i="11" l="1"/>
  <c r="H17" i="11"/>
  <c r="AE5" i="11"/>
  <c r="AF5" i="11" s="1"/>
  <c r="AG5" i="11" s="1"/>
  <c r="AH5" i="11" s="1"/>
  <c r="AI5" i="11" s="1"/>
  <c r="AJ5" i="11" s="1"/>
  <c r="AD4" i="11"/>
  <c r="L6" i="11"/>
  <c r="E20" i="11" l="1"/>
  <c r="F20" i="11" s="1"/>
  <c r="E22" i="11" s="1"/>
  <c r="F22" i="11" s="1"/>
  <c r="E23" i="11"/>
  <c r="AK5" i="11"/>
  <c r="AL5" i="11" s="1"/>
  <c r="AM5" i="11" s="1"/>
  <c r="AN5" i="11" s="1"/>
  <c r="AO5" i="11" s="1"/>
  <c r="AP5" i="11" s="1"/>
  <c r="AQ5" i="11" s="1"/>
  <c r="M6" i="11"/>
  <c r="F23" i="11" l="1"/>
  <c r="E24" i="11" s="1"/>
  <c r="F24" i="11" s="1"/>
  <c r="AR5" i="11"/>
  <c r="AS5" i="11" s="1"/>
  <c r="AK4" i="11"/>
  <c r="N6" i="11"/>
  <c r="H31" i="11" l="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<sst xmlns="http://schemas.openxmlformats.org/spreadsheetml/2006/main" count="61" uniqueCount="39">
  <si>
    <t>Project Members</t>
  </si>
  <si>
    <t>Project start:</t>
  </si>
  <si>
    <t>Michael McCarthy</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</si>
  <si>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</si>
  <si>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</si>
  <si>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</si>
  <si>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</si>
  <si>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</si>
  <si>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</si>
  <si>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</si>
  <si>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</si>
  <si>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</si>
  <si>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</si>
  <si>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Draft functions in Python</t>
  </si>
  <si>
    <t>Execution</t>
  </si>
  <si>
    <t>Data cleaning and Processing</t>
  </si>
  <si>
    <t>Testing and validation</t>
  </si>
  <si>
    <t>Written Technical Report</t>
  </si>
  <si>
    <t>Annotated Code Document (ACD)</t>
  </si>
  <si>
    <t>Scope of Work (SOW)</t>
  </si>
  <si>
    <t>Final Project integration and submission</t>
  </si>
  <si>
    <t>Evaluation</t>
  </si>
  <si>
    <t>Monitor progress</t>
  </si>
  <si>
    <t>Evaluate progress</t>
  </si>
  <si>
    <t>Gather feedback</t>
  </si>
  <si>
    <t>CIVE 202 Project #3</t>
  </si>
  <si>
    <t>VISUALIZE</t>
  </si>
  <si>
    <t>Task #3 Track Billable Hours</t>
  </si>
  <si>
    <t>Task #1  Research / Define categories for Bar chart visualisation</t>
  </si>
  <si>
    <t>Task  Project Planning (Gantt Chart)</t>
  </si>
  <si>
    <t>Task #1  Research / Define categories for Histogram visualisation</t>
  </si>
  <si>
    <t>Task #1  Research/ Define categories for boxplot visualisation</t>
  </si>
  <si>
    <t>Task #1  Research / Define categories time-series plot categories</t>
  </si>
  <si>
    <t>Task #2  Research / Define and define variables for analysis in IDM sim</t>
  </si>
  <si>
    <t>Task #1  Programming for Bar chart visualisation</t>
  </si>
  <si>
    <t>Task #1  Programming for time-series plot categories</t>
  </si>
  <si>
    <t>Task #1  Programming for Histogram visualisation</t>
  </si>
  <si>
    <t>Task #1  Programming for boxplot visualisation</t>
  </si>
  <si>
    <t xml:space="preserve">Task #2  IDM sim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</si>
</sst>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sz val="8"/>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0" borderId="0" xfId="6" applyFont="1" applyAlignment="1">
      <alignment horizontal="left" vertical="center" indent="1"/>
    </xf>
    <xf numFmtId="0" fontId="19" fillId="0" borderId="0" xfId="7" applyFont="1" applyAlignment="1">
      <alignment horizontal="left" vertical="center" indent="1"/>
    </xf>
    <xf numFmtId="0" fontId="22" fillId="0" borderId="0" xfId="5" applyFont="1" applyAlignment="1">
      <alignment horizontal="left"/>
    </xf>
    <xf numFmtId="167" fontId="16" fillId="13" borderId="20" xfId="0" applyNumberFormat="1" applyFont="1" applyFill="1" applyBorder="1" applyAlignment="1">
      <alignment horizontal="center" vertical="center"/>
    </xf>
    <xf numFmtId="0" fontId="17" fillId="13" borderId="14" xfId="0" applyFont="1" applyFill="1" applyBorder="1" applyAlignment="1">
      <alignment horizontal="center" vertical="center" shrinkToFit="1"/>
    </xf>
    <xf numFmtId="0" fontId="4" fillId="14" borderId="0" xfId="0" applyFont="1" applyFill="1"/>
    <xf numFmtId="0" fontId="4" fillId="14" borderId="3" xfId="0" applyFont="1" applyFill="1" applyBorder="1" applyAlignment="1">
      <alignment vertical="center"/>
    </xf>
    <xf numFmtId="0" fontId="4" fillId="14" borderId="12" xfId="0" applyFont="1" applyFill="1" applyBorder="1" applyAlignment="1">
      <alignment vertical="center"/>
    </xf>
    <xf numFmtId="0" fontId="4" fillId="14" borderId="4" xfId="0" applyFont="1" applyFill="1" applyBorder="1" applyAlignment="1">
      <alignment vertical="center"/>
    </xf>
    <xf numFmtId="0" fontId="4" fillId="14" borderId="0" xfId="0" applyFont="1" applyFill="1" applyAlignment="1">
      <alignment vertical="center"/>
    </xf>
    <xf numFmtId="0" fontId="4" fillId="14" borderId="11" xfId="0" applyFont="1" applyFill="1" applyBorder="1" applyAlignment="1">
      <alignment vertical="center"/>
    </xf>
    <xf numFmtId="0" fontId="4" fillId="14" borderId="10" xfId="0" applyFont="1" applyFill="1" applyBorder="1" applyAlignment="1">
      <alignment vertical="center"/>
    </xf>
    <xf numFmtId="0" fontId="0" fillId="14" borderId="0" xfId="0" applyFill="1"/>
    <xf numFmtId="167" fontId="16" fillId="15" borderId="20" xfId="0" applyNumberFormat="1" applyFont="1" applyFill="1" applyBorder="1" applyAlignment="1">
      <alignment horizontal="center" vertical="center"/>
    </xf>
    <xf numFmtId="0" fontId="0" fillId="14" borderId="10" xfId="0" applyFill="1" applyBorder="1" applyAlignment="1">
      <alignment vertical="center"/>
    </xf>
    <xf numFmtId="0" fontId="0" fillId="14" borderId="11" xfId="0" applyFill="1" applyBorder="1" applyAlignment="1">
      <alignment vertical="center"/>
    </xf>
    <xf numFmtId="0" fontId="0" fillId="14" borderId="0" xfId="0" applyFill="1" applyAlignment="1">
      <alignment vertical="center"/>
    </xf>
    <xf numFmtId="0" fontId="0" fillId="14" borderId="4" xfId="0" applyFill="1" applyBorder="1" applyAlignment="1">
      <alignment vertical="center"/>
    </xf>
    <xf numFmtId="0" fontId="0" fillId="14" borderId="3" xfId="0" applyFill="1" applyBorder="1" applyAlignment="1">
      <alignment vertical="center"/>
    </xf>
    <xf numFmtId="0" fontId="0" fillId="14" borderId="12" xfId="0"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19" fillId="0" borderId="0" xfId="8" applyFont="1" applyAlignment="1">
      <alignment horizontal="left"/>
    </xf>
    <xf numFmtId="0" fontId="17" fillId="14" borderId="14" xfId="0" applyFont="1" applyFill="1" applyBorder="1" applyAlignment="1">
      <alignment horizontal="center" vertical="center" shrinkToFit="1"/>
    </xf>
    <xf numFmtId="167" fontId="16" fillId="14" borderId="20" xfId="0" applyNumberFormat="1" applyFont="1" applyFill="1" applyBorder="1" applyAlignment="1">
      <alignment horizontal="center" vertical="center"/>
    </xf>
    <xf numFmtId="0" fontId="4" fillId="13" borderId="3" xfId="0" applyFont="1" applyFill="1" applyBorder="1" applyAlignment="1">
      <alignment vertical="center"/>
    </xf>
    <xf numFmtId="0" fontId="4" fillId="13" borderId="12" xfId="0" applyFont="1" applyFill="1" applyBorder="1" applyAlignment="1">
      <alignment vertical="center"/>
    </xf>
    <xf numFmtId="0" fontId="4" fillId="13" borderId="4" xfId="0" applyFont="1" applyFill="1" applyBorder="1" applyAlignment="1">
      <alignment vertical="center"/>
    </xf>
    <xf numFmtId="0" fontId="4" fillId="13" borderId="0" xfId="0" applyFont="1" applyFill="1" applyAlignment="1">
      <alignment vertical="center"/>
    </xf>
    <xf numFmtId="0" fontId="4" fillId="13" borderId="11" xfId="0" applyFont="1" applyFill="1" applyBorder="1" applyAlignment="1">
      <alignment vertical="center"/>
    </xf>
    <xf numFmtId="0" fontId="4" fillId="13" borderId="10" xfId="0" applyFont="1" applyFill="1" applyBorder="1" applyAlignment="1">
      <alignment vertical="center"/>
    </xf>
    <xf numFmtId="0" fontId="14" fillId="3" borderId="0" xfId="12" applyFont="1" applyFill="1" applyBorder="1">
      <alignment horizontal="left" vertical="center" indent="2"/>
    </xf>
    <xf numFmtId="0" fontId="4" fillId="0" borderId="0" xfId="0" applyFont="1" applyAlignment="1">
      <alignment horizontal="right" vertical="center"/>
    </xf>
    <xf numFmtId="0" fontId="0" fillId="0" borderId="0" xfId="0" applyAlignment="1">
      <alignment vertical="center"/>
    </xf>
    <xf numFmtId="0" fontId="19" fillId="0" borderId="0" xfId="8" applyFont="1" applyAlignment="1">
      <alignment horizontal="left"/>
    </xf>
    <xf numFmtId="0" fontId="4" fillId="0" borderId="0" xfId="0" applyFont="1"/>
    <xf numFmtId="165" fontId="20" fillId="0" borderId="0" xfId="9" applyFont="1" applyBorder="1" applyAlignment="1">
      <alignment horizontal="left"/>
    </xf>
    <xf numFmtId="0" fontId="21" fillId="0" borderId="0" xfId="0" applyFont="1"/>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4" fillId="2" borderId="21" xfId="0" applyFont="1" applyFill="1" applyBorder="1"/>
    <xf numFmtId="0" fontId="15" fillId="11" borderId="16" xfId="0" applyFont="1" applyFill="1" applyBorder="1" applyAlignment="1">
      <alignment horizontal="center" vertical="center"/>
    </xf>
    <xf numFmtId="0" fontId="20" fillId="0" borderId="0" xfId="0" applyFont="1" applyAlignment="1">
      <alignment horizontal="left"/>
    </xf>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133350</xdr:colOff>
      <xdr:row>9</xdr:row>
      <xdr:rowOff>123825</xdr:rowOff>
    </xdr:from>
    <xdr:to>
      <xdr:col>13</xdr:col>
      <xdr:colOff>95250</xdr:colOff>
      <xdr:row>9</xdr:row>
      <xdr:rowOff>306705</xdr:rowOff>
    </xdr:to>
    <xdr:pic>
      <xdr:nvPicPr>
        <xdr:cNvPr id="2" name="Picture 1">
          <a:extLst>
            <a:ext uri="{FF2B5EF4-FFF2-40B4-BE49-F238E27FC236}">
              <a16:creationId xmlns:a16="http://schemas.microsoft.com/office/drawing/2014/main" id="{C3A90023-B694-5CB8-6293-DD1E9D1F1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355282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142875</xdr:colOff>
      <xdr:row>10</xdr:row>
      <xdr:rowOff>114300</xdr:rowOff>
    </xdr:from>
    <xdr:to>
      <xdr:col>15</xdr:col>
      <xdr:colOff>91440</xdr:colOff>
      <xdr:row>10</xdr:row>
      <xdr:rowOff>283845</xdr:rowOff>
    </xdr:to>
    <xdr:pic>
      <xdr:nvPicPr>
        <xdr:cNvPr id="3" name="Picture 2">
          <a:extLst>
            <a:ext uri="{FF2B5EF4-FFF2-40B4-BE49-F238E27FC236}">
              <a16:creationId xmlns:a16="http://schemas.microsoft.com/office/drawing/2014/main" id="{DBAFF03B-1F71-45DB-BA59-17B06FDE6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91700" y="3924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142875</xdr:colOff>
      <xdr:row>11</xdr:row>
      <xdr:rowOff>95250</xdr:rowOff>
    </xdr:from>
    <xdr:to>
      <xdr:col>17</xdr:col>
      <xdr:colOff>91440</xdr:colOff>
      <xdr:row>11</xdr:row>
      <xdr:rowOff>281940</xdr:rowOff>
    </xdr:to>
    <xdr:pic>
      <xdr:nvPicPr>
        <xdr:cNvPr id="4" name="Picture 3">
          <a:extLst>
            <a:ext uri="{FF2B5EF4-FFF2-40B4-BE49-F238E27FC236}">
              <a16:creationId xmlns:a16="http://schemas.microsoft.com/office/drawing/2014/main" id="{FE32AE8F-AC8F-4629-A97E-C943135FD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0" y="4286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133350</xdr:colOff>
      <xdr:row>12</xdr:row>
      <xdr:rowOff>95250</xdr:rowOff>
    </xdr:from>
    <xdr:to>
      <xdr:col>19</xdr:col>
      <xdr:colOff>95250</xdr:colOff>
      <xdr:row>12</xdr:row>
      <xdr:rowOff>281940</xdr:rowOff>
    </xdr:to>
    <xdr:pic>
      <xdr:nvPicPr>
        <xdr:cNvPr id="5" name="Picture 4">
          <a:extLst>
            <a:ext uri="{FF2B5EF4-FFF2-40B4-BE49-F238E27FC236}">
              <a16:creationId xmlns:a16="http://schemas.microsoft.com/office/drawing/2014/main" id="{1534D533-4EE0-407F-BDE6-87EEC5987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2275" y="4667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47625</xdr:colOff>
      <xdr:row>13</xdr:row>
      <xdr:rowOff>104775</xdr:rowOff>
    </xdr:from>
    <xdr:to>
      <xdr:col>23</xdr:col>
      <xdr:colOff>0</xdr:colOff>
      <xdr:row>13</xdr:row>
      <xdr:rowOff>283845</xdr:rowOff>
    </xdr:to>
    <xdr:pic>
      <xdr:nvPicPr>
        <xdr:cNvPr id="6" name="Picture 5">
          <a:extLst>
            <a:ext uri="{FF2B5EF4-FFF2-40B4-BE49-F238E27FC236}">
              <a16:creationId xmlns:a16="http://schemas.microsoft.com/office/drawing/2014/main" id="{B9D27E32-9274-46D7-BF49-8EEC5970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505777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9525</xdr:colOff>
      <xdr:row>9</xdr:row>
      <xdr:rowOff>306705</xdr:rowOff>
    </xdr:from>
    <xdr:to>
      <xdr:col>13</xdr:col>
      <xdr:colOff>9525</xdr:colOff>
      <xdr:row>15</xdr:row>
      <xdr:rowOff>228600</xdr:rowOff>
    </xdr:to>
    <xdr:cxnSp macro="">
      <xdr:nvCxnSpPr>
        <xdr:cNvPr id="8" name="Straight Arrow Connector 7">
          <a:extLst>
            <a:ext uri="{FF2B5EF4-FFF2-40B4-BE49-F238E27FC236}">
              <a16:creationId xmlns:a16="http://schemas.microsoft.com/office/drawing/2014/main" id="{081F8D39-2863-7E9D-C085-93E06E29D4BE}"/>
            </a:ext>
          </a:extLst>
        </xdr:cNvPr>
        <xdr:cNvCxnSpPr>
          <a:stCxn id="2" idx="2"/>
        </xdr:cNvCxnSpPr>
      </xdr:nvCxnSpPr>
      <xdr:spPr>
        <a:xfrm>
          <a:off x="9458325" y="3735705"/>
          <a:ext cx="0"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133350</xdr:colOff>
      <xdr:row>15</xdr:row>
      <xdr:rowOff>114300</xdr:rowOff>
    </xdr:from>
    <xdr:to>
      <xdr:col>20</xdr:col>
      <xdr:colOff>95250</xdr:colOff>
      <xdr:row>15</xdr:row>
      <xdr:rowOff>283845</xdr:rowOff>
    </xdr:to>
    <xdr:pic>
      <xdr:nvPicPr>
        <xdr:cNvPr id="10" name="Picture 9">
          <a:extLst>
            <a:ext uri="{FF2B5EF4-FFF2-40B4-BE49-F238E27FC236}">
              <a16:creationId xmlns:a16="http://schemas.microsoft.com/office/drawing/2014/main" id="{9280650C-E76F-4665-8AD8-D07C4BCF6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82300" y="5829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133350</xdr:colOff>
      <xdr:row>17</xdr:row>
      <xdr:rowOff>114300</xdr:rowOff>
    </xdr:from>
    <xdr:to>
      <xdr:col>24</xdr:col>
      <xdr:colOff>95250</xdr:colOff>
      <xdr:row>17</xdr:row>
      <xdr:rowOff>283845</xdr:rowOff>
    </xdr:to>
    <xdr:pic>
      <xdr:nvPicPr>
        <xdr:cNvPr id="11" name="Picture 10">
          <a:extLst>
            <a:ext uri="{FF2B5EF4-FFF2-40B4-BE49-F238E27FC236}">
              <a16:creationId xmlns:a16="http://schemas.microsoft.com/office/drawing/2014/main" id="{584B4DED-C9B3-427F-95D9-91D740193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82400" y="6591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161925</xdr:colOff>
      <xdr:row>16</xdr:row>
      <xdr:rowOff>104775</xdr:rowOff>
    </xdr:from>
    <xdr:to>
      <xdr:col>22</xdr:col>
      <xdr:colOff>114300</xdr:colOff>
      <xdr:row>16</xdr:row>
      <xdr:rowOff>283845</xdr:rowOff>
    </xdr:to>
    <xdr:pic>
      <xdr:nvPicPr>
        <xdr:cNvPr id="12" name="Picture 11">
          <a:extLst>
            <a:ext uri="{FF2B5EF4-FFF2-40B4-BE49-F238E27FC236}">
              <a16:creationId xmlns:a16="http://schemas.microsoft.com/office/drawing/2014/main" id="{393F5EE7-6A8F-4182-B8A6-FF5D936C9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0925" y="620077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142875</xdr:colOff>
      <xdr:row>18</xdr:row>
      <xdr:rowOff>76200</xdr:rowOff>
    </xdr:from>
    <xdr:to>
      <xdr:col>26</xdr:col>
      <xdr:colOff>91440</xdr:colOff>
      <xdr:row>18</xdr:row>
      <xdr:rowOff>245745</xdr:rowOff>
    </xdr:to>
    <xdr:pic>
      <xdr:nvPicPr>
        <xdr:cNvPr id="13" name="Picture 12">
          <a:extLst>
            <a:ext uri="{FF2B5EF4-FFF2-40B4-BE49-F238E27FC236}">
              <a16:creationId xmlns:a16="http://schemas.microsoft.com/office/drawing/2014/main" id="{C02DAFD8-CE1C-47B1-AF0F-DEC679291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91975" y="69342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171450</xdr:colOff>
      <xdr:row>19</xdr:row>
      <xdr:rowOff>95250</xdr:rowOff>
    </xdr:from>
    <xdr:to>
      <xdr:col>30</xdr:col>
      <xdr:colOff>133350</xdr:colOff>
      <xdr:row>19</xdr:row>
      <xdr:rowOff>281940</xdr:rowOff>
    </xdr:to>
    <xdr:pic>
      <xdr:nvPicPr>
        <xdr:cNvPr id="14" name="Picture 13">
          <a:extLst>
            <a:ext uri="{FF2B5EF4-FFF2-40B4-BE49-F238E27FC236}">
              <a16:creationId xmlns:a16="http://schemas.microsoft.com/office/drawing/2014/main" id="{AE51FD37-682B-4746-BD06-A4BF45069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0650" y="7334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119104</xdr:colOff>
      <xdr:row>21</xdr:row>
      <xdr:rowOff>54665</xdr:rowOff>
    </xdr:from>
    <xdr:to>
      <xdr:col>34</xdr:col>
      <xdr:colOff>72722</xdr:colOff>
      <xdr:row>21</xdr:row>
      <xdr:rowOff>248975</xdr:rowOff>
    </xdr:to>
    <xdr:pic>
      <xdr:nvPicPr>
        <xdr:cNvPr id="15" name="Picture 14">
          <a:extLst>
            <a:ext uri="{FF2B5EF4-FFF2-40B4-BE49-F238E27FC236}">
              <a16:creationId xmlns:a16="http://schemas.microsoft.com/office/drawing/2014/main" id="{3B7A61E8-EE47-49C4-B443-EC85AADAB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45213" y="8055665"/>
          <a:ext cx="1524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9525</xdr:colOff>
      <xdr:row>10</xdr:row>
      <xdr:rowOff>297180</xdr:rowOff>
    </xdr:from>
    <xdr:to>
      <xdr:col>15</xdr:col>
      <xdr:colOff>19050</xdr:colOff>
      <xdr:row>16</xdr:row>
      <xdr:rowOff>219075</xdr:rowOff>
    </xdr:to>
    <xdr:cxnSp macro="">
      <xdr:nvCxnSpPr>
        <xdr:cNvPr id="16" name="Straight Arrow Connector 15">
          <a:extLst>
            <a:ext uri="{FF2B5EF4-FFF2-40B4-BE49-F238E27FC236}">
              <a16:creationId xmlns:a16="http://schemas.microsoft.com/office/drawing/2014/main" id="{E61578A2-CC94-40D9-8C0A-87743882C6D6}"/>
            </a:ext>
          </a:extLst>
        </xdr:cNvPr>
        <xdr:cNvCxnSpPr>
          <a:stCxn id="3" idx="2"/>
        </xdr:cNvCxnSpPr>
      </xdr:nvCxnSpPr>
      <xdr:spPr>
        <a:xfrm flipH="1">
          <a:off x="9858375" y="4107180"/>
          <a:ext cx="952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15</xdr:row>
      <xdr:rowOff>205740</xdr:rowOff>
    </xdr:from>
    <xdr:to>
      <xdr:col>19</xdr:col>
      <xdr:colOff>133350</xdr:colOff>
      <xdr:row>15</xdr:row>
      <xdr:rowOff>219075</xdr:rowOff>
    </xdr:to>
    <xdr:cxnSp macro="">
      <xdr:nvCxnSpPr>
        <xdr:cNvPr id="19" name="Straight Arrow Connector 18">
          <a:extLst>
            <a:ext uri="{FF2B5EF4-FFF2-40B4-BE49-F238E27FC236}">
              <a16:creationId xmlns:a16="http://schemas.microsoft.com/office/drawing/2014/main" id="{D256ED1F-E212-4D24-98C0-9325EF0CF245}"/>
            </a:ext>
          </a:extLst>
        </xdr:cNvPr>
        <xdr:cNvCxnSpPr>
          <a:endCxn id="10" idx="1"/>
        </xdr:cNvCxnSpPr>
      </xdr:nvCxnSpPr>
      <xdr:spPr>
        <a:xfrm flipV="1">
          <a:off x="9458325" y="5920740"/>
          <a:ext cx="1323975" cy="133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16565</xdr:colOff>
      <xdr:row>16</xdr:row>
      <xdr:rowOff>193358</xdr:rowOff>
    </xdr:from>
    <xdr:to>
      <xdr:col>21</xdr:col>
      <xdr:colOff>163830</xdr:colOff>
      <xdr:row>16</xdr:row>
      <xdr:rowOff>198783</xdr:rowOff>
    </xdr:to>
    <xdr:cxnSp macro="">
      <xdr:nvCxnSpPr>
        <xdr:cNvPr id="22" name="Straight Arrow Connector 21">
          <a:extLst>
            <a:ext uri="{FF2B5EF4-FFF2-40B4-BE49-F238E27FC236}">
              <a16:creationId xmlns:a16="http://schemas.microsoft.com/office/drawing/2014/main" id="{44E4FBE3-0052-4B9A-B2FE-6040175CFCF2}"/>
            </a:ext>
          </a:extLst>
        </xdr:cNvPr>
        <xdr:cNvCxnSpPr>
          <a:endCxn id="12" idx="1"/>
        </xdr:cNvCxnSpPr>
      </xdr:nvCxnSpPr>
      <xdr:spPr>
        <a:xfrm flipV="1">
          <a:off x="9864587" y="6289358"/>
          <a:ext cx="1339960" cy="5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16566</xdr:colOff>
      <xdr:row>17</xdr:row>
      <xdr:rowOff>209923</xdr:rowOff>
    </xdr:from>
    <xdr:to>
      <xdr:col>23</xdr:col>
      <xdr:colOff>169545</xdr:colOff>
      <xdr:row>17</xdr:row>
      <xdr:rowOff>221063</xdr:rowOff>
    </xdr:to>
    <xdr:cxnSp macro="">
      <xdr:nvCxnSpPr>
        <xdr:cNvPr id="29" name="Straight Arrow Connector 28">
          <a:extLst>
            <a:ext uri="{FF2B5EF4-FFF2-40B4-BE49-F238E27FC236}">
              <a16:creationId xmlns:a16="http://schemas.microsoft.com/office/drawing/2014/main" id="{1AAA0A5B-F022-4BA1-8C81-4D955DB92B2C}"/>
            </a:ext>
          </a:extLst>
        </xdr:cNvPr>
        <xdr:cNvCxnSpPr/>
      </xdr:nvCxnSpPr>
      <xdr:spPr>
        <a:xfrm flipV="1">
          <a:off x="10262153" y="6686923"/>
          <a:ext cx="1345675" cy="11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57978</xdr:colOff>
      <xdr:row>21</xdr:row>
      <xdr:rowOff>149087</xdr:rowOff>
    </xdr:from>
    <xdr:to>
      <xdr:col>33</xdr:col>
      <xdr:colOff>68248</xdr:colOff>
      <xdr:row>21</xdr:row>
      <xdr:rowOff>149087</xdr:rowOff>
    </xdr:to>
    <xdr:cxnSp macro="">
      <xdr:nvCxnSpPr>
        <xdr:cNvPr id="30" name="Straight Arrow Connector 29">
          <a:extLst>
            <a:ext uri="{FF2B5EF4-FFF2-40B4-BE49-F238E27FC236}">
              <a16:creationId xmlns:a16="http://schemas.microsoft.com/office/drawing/2014/main" id="{E256C794-9B7C-48AA-A42A-9F2FA4BC63E2}"/>
            </a:ext>
          </a:extLst>
        </xdr:cNvPr>
        <xdr:cNvCxnSpPr/>
      </xdr:nvCxnSpPr>
      <xdr:spPr>
        <a:xfrm>
          <a:off x="12887739" y="8150087"/>
          <a:ext cx="6066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18</xdr:row>
      <xdr:rowOff>165652</xdr:rowOff>
    </xdr:from>
    <xdr:to>
      <xdr:col>25</xdr:col>
      <xdr:colOff>152979</xdr:colOff>
      <xdr:row>18</xdr:row>
      <xdr:rowOff>178697</xdr:rowOff>
    </xdr:to>
    <xdr:cxnSp macro="">
      <xdr:nvCxnSpPr>
        <xdr:cNvPr id="31" name="Straight Arrow Connector 30">
          <a:extLst>
            <a:ext uri="{FF2B5EF4-FFF2-40B4-BE49-F238E27FC236}">
              <a16:creationId xmlns:a16="http://schemas.microsoft.com/office/drawing/2014/main" id="{D100DB4C-BD16-4BC9-B979-FEAA8B0EE910}"/>
            </a:ext>
          </a:extLst>
        </xdr:cNvPr>
        <xdr:cNvCxnSpPr/>
      </xdr:nvCxnSpPr>
      <xdr:spPr>
        <a:xfrm flipV="1">
          <a:off x="10643152" y="7023652"/>
          <a:ext cx="1345675" cy="130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132522</xdr:colOff>
      <xdr:row>19</xdr:row>
      <xdr:rowOff>207065</xdr:rowOff>
    </xdr:from>
    <xdr:to>
      <xdr:col>29</xdr:col>
      <xdr:colOff>165073</xdr:colOff>
      <xdr:row>19</xdr:row>
      <xdr:rowOff>207065</xdr:rowOff>
    </xdr:to>
    <xdr:cxnSp macro="">
      <xdr:nvCxnSpPr>
        <xdr:cNvPr id="32" name="Straight Arrow Connector 31">
          <a:extLst>
            <a:ext uri="{FF2B5EF4-FFF2-40B4-BE49-F238E27FC236}">
              <a16:creationId xmlns:a16="http://schemas.microsoft.com/office/drawing/2014/main" id="{E659EB4B-B423-4441-9A18-4D13E4816C41}"/>
            </a:ext>
          </a:extLst>
        </xdr:cNvPr>
        <xdr:cNvCxnSpPr/>
      </xdr:nvCxnSpPr>
      <xdr:spPr>
        <a:xfrm>
          <a:off x="11372022" y="7446065"/>
          <a:ext cx="142402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20541</xdr:colOff>
      <xdr:row>11</xdr:row>
      <xdr:rowOff>270427</xdr:rowOff>
    </xdr:from>
    <xdr:to>
      <xdr:col>17</xdr:col>
      <xdr:colOff>26256</xdr:colOff>
      <xdr:row>17</xdr:row>
      <xdr:rowOff>192322</xdr:rowOff>
    </xdr:to>
    <xdr:cxnSp macro="">
      <xdr:nvCxnSpPr>
        <xdr:cNvPr id="34" name="Straight Arrow Connector 33">
          <a:extLst>
            <a:ext uri="{FF2B5EF4-FFF2-40B4-BE49-F238E27FC236}">
              <a16:creationId xmlns:a16="http://schemas.microsoft.com/office/drawing/2014/main" id="{1BC6C165-C7BB-4B99-A302-3CEF95D984CF}"/>
            </a:ext>
          </a:extLst>
        </xdr:cNvPr>
        <xdr:cNvCxnSpPr/>
      </xdr:nvCxnSpPr>
      <xdr:spPr>
        <a:xfrm flipH="1">
          <a:off x="10266128" y="4461427"/>
          <a:ext cx="571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190665</xdr:colOff>
      <xdr:row>12</xdr:row>
      <xdr:rowOff>237296</xdr:rowOff>
    </xdr:from>
    <xdr:to>
      <xdr:col>18</xdr:col>
      <xdr:colOff>194475</xdr:colOff>
      <xdr:row>18</xdr:row>
      <xdr:rowOff>159191</xdr:rowOff>
    </xdr:to>
    <xdr:cxnSp macro="">
      <xdr:nvCxnSpPr>
        <xdr:cNvPr id="35" name="Straight Arrow Connector 34">
          <a:extLst>
            <a:ext uri="{FF2B5EF4-FFF2-40B4-BE49-F238E27FC236}">
              <a16:creationId xmlns:a16="http://schemas.microsoft.com/office/drawing/2014/main" id="{537DDA27-7BCB-4696-8364-CACFB1D44B1B}"/>
            </a:ext>
          </a:extLst>
        </xdr:cNvPr>
        <xdr:cNvCxnSpPr/>
      </xdr:nvCxnSpPr>
      <xdr:spPr>
        <a:xfrm flipH="1">
          <a:off x="10635035" y="4809296"/>
          <a:ext cx="3810"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115956</xdr:colOff>
      <xdr:row>13</xdr:row>
      <xdr:rowOff>256761</xdr:rowOff>
    </xdr:from>
    <xdr:to>
      <xdr:col>22</xdr:col>
      <xdr:colOff>121671</xdr:colOff>
      <xdr:row>19</xdr:row>
      <xdr:rowOff>178656</xdr:rowOff>
    </xdr:to>
    <xdr:cxnSp macro="">
      <xdr:nvCxnSpPr>
        <xdr:cNvPr id="36" name="Straight Arrow Connector 35">
          <a:extLst>
            <a:ext uri="{FF2B5EF4-FFF2-40B4-BE49-F238E27FC236}">
              <a16:creationId xmlns:a16="http://schemas.microsoft.com/office/drawing/2014/main" id="{C61090B1-37A8-4756-9ECE-ADDA4A517D24}"/>
            </a:ext>
          </a:extLst>
        </xdr:cNvPr>
        <xdr:cNvCxnSpPr/>
      </xdr:nvCxnSpPr>
      <xdr:spPr>
        <a:xfrm flipH="1">
          <a:off x="11355456" y="5209761"/>
          <a:ext cx="571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55411</xdr:colOff>
      <xdr:row>19</xdr:row>
      <xdr:rowOff>244668</xdr:rowOff>
    </xdr:from>
    <xdr:to>
      <xdr:col>30</xdr:col>
      <xdr:colOff>57978</xdr:colOff>
      <xdr:row>21</xdr:row>
      <xdr:rowOff>124239</xdr:rowOff>
    </xdr:to>
    <xdr:cxnSp macro="">
      <xdr:nvCxnSpPr>
        <xdr:cNvPr id="38" name="Straight Arrow Connector 37">
          <a:extLst>
            <a:ext uri="{FF2B5EF4-FFF2-40B4-BE49-F238E27FC236}">
              <a16:creationId xmlns:a16="http://schemas.microsoft.com/office/drawing/2014/main" id="{D4A42507-4D38-47E3-B3B3-B2BAA24A83F3}"/>
            </a:ext>
          </a:extLst>
        </xdr:cNvPr>
        <xdr:cNvCxnSpPr/>
      </xdr:nvCxnSpPr>
      <xdr:spPr>
        <a:xfrm>
          <a:off x="12885172" y="7483668"/>
          <a:ext cx="2567" cy="6415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115957</xdr:colOff>
      <xdr:row>24</xdr:row>
      <xdr:rowOff>124239</xdr:rowOff>
    </xdr:from>
    <xdr:to>
      <xdr:col>20</xdr:col>
      <xdr:colOff>79762</xdr:colOff>
      <xdr:row>24</xdr:row>
      <xdr:rowOff>288069</xdr:rowOff>
    </xdr:to>
    <xdr:pic>
      <xdr:nvPicPr>
        <xdr:cNvPr id="40" name="Picture 39">
          <a:extLst>
            <a:ext uri="{FF2B5EF4-FFF2-40B4-BE49-F238E27FC236}">
              <a16:creationId xmlns:a16="http://schemas.microsoft.com/office/drawing/2014/main" id="{686B2B4C-89FC-47C9-A709-1F951F9D3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9109" y="9268239"/>
          <a:ext cx="162588"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197251</xdr:colOff>
      <xdr:row>15</xdr:row>
      <xdr:rowOff>285419</xdr:rowOff>
    </xdr:from>
    <xdr:to>
      <xdr:col>20</xdr:col>
      <xdr:colOff>11429</xdr:colOff>
      <xdr:row>24</xdr:row>
      <xdr:rowOff>126144</xdr:rowOff>
    </xdr:to>
    <xdr:cxnSp macro="">
      <xdr:nvCxnSpPr>
        <xdr:cNvPr id="41" name="Straight Arrow Connector 40">
          <a:extLst>
            <a:ext uri="{FF2B5EF4-FFF2-40B4-BE49-F238E27FC236}">
              <a16:creationId xmlns:a16="http://schemas.microsoft.com/office/drawing/2014/main" id="{E4751CED-3E11-4969-AB59-0EE36AE80C52}"/>
            </a:ext>
          </a:extLst>
        </xdr:cNvPr>
        <xdr:cNvCxnSpPr>
          <a:endCxn id="40" idx="0"/>
        </xdr:cNvCxnSpPr>
      </xdr:nvCxnSpPr>
      <xdr:spPr>
        <a:xfrm flipH="1">
          <a:off x="10840403" y="6000419"/>
          <a:ext cx="12961" cy="3269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115" zoomScaleNormal="115" zoomScalePageLayoutView="70" workbookViewId="0">
      <selection activeCell="F33" sqref="F33"/>
    </sheetView>
  </sheetViews>
  <sheetFormatPr defaultColWidth="8.59765625" defaultRowHeight="30" customHeight="1" x14ac:dyDescent="0.25"/>
  <cols>
    <col min="1" max="1" width="2.59765625" style="6" customWidth="1"/>
    <col min="2" max="2" width="57.0976562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23" width="2.59765625" customWidth="1"/>
    <col min="24" max="24" width="2.59765625" style="91" customWidth="1"/>
    <col min="25" max="25" width="2.59765625" customWidth="1"/>
    <col min="26" max="26" width="2.59765625" style="91" customWidth="1"/>
    <col min="27" max="65" width="2.59765625" customWidth="1"/>
  </cols>
  <sheetData>
    <row r="1" spans="1:64" ht="90" customHeight="1" x14ac:dyDescent="0.9">
      <c r="A1" s="7"/>
      <c r="B1" s="81" t="s">
        <v>25</v>
      </c>
      <c r="C1" s="80" t="s">
        <v>0</v>
      </c>
      <c r="D1" s="11"/>
      <c r="E1" s="12"/>
      <c r="F1" s="13"/>
      <c r="H1" s="1"/>
      <c r="I1" s="113" t="s">
        <v>1</v>
      </c>
      <c r="J1" s="114"/>
      <c r="K1" s="114"/>
      <c r="L1" s="114"/>
      <c r="M1" s="114"/>
      <c r="N1" s="114"/>
      <c r="O1" s="114"/>
      <c r="P1" s="16"/>
      <c r="Q1" s="115">
        <f>DATE(2026,2,26)</f>
        <v>46079</v>
      </c>
      <c r="R1" s="116"/>
      <c r="S1" s="116"/>
      <c r="T1" s="116"/>
      <c r="U1" s="116"/>
      <c r="V1" s="116"/>
      <c r="W1" s="116"/>
      <c r="X1" s="116"/>
      <c r="Y1" s="116"/>
      <c r="Z1" s="116"/>
      <c r="AA1" s="113" t="s">
        <v>1</v>
      </c>
      <c r="AB1" s="114"/>
      <c r="AC1" s="114"/>
      <c r="AD1" s="114"/>
      <c r="AE1" s="114"/>
      <c r="AF1" s="114"/>
      <c r="AG1" s="114"/>
      <c r="AH1" s="101"/>
      <c r="AI1" s="115">
        <f>DATE(2026,3,31)</f>
        <v>46112</v>
      </c>
      <c r="AJ1" s="116"/>
      <c r="AK1" s="116"/>
      <c r="AL1" s="116"/>
      <c r="AM1" s="116"/>
      <c r="AN1" s="116"/>
      <c r="AO1" s="116"/>
      <c r="AP1" s="116"/>
      <c r="AQ1" s="116"/>
      <c r="AR1" s="116"/>
    </row>
    <row r="2" spans="1:64" ht="30" customHeight="1" x14ac:dyDescent="0.6">
      <c r="B2" s="79" t="s">
        <v>26</v>
      </c>
      <c r="C2" t="s">
        <v>2</v>
      </c>
      <c r="D2" s="14"/>
      <c r="E2" s="15"/>
      <c r="F2" s="14"/>
      <c r="I2" s="113" t="s">
        <v>3</v>
      </c>
      <c r="J2" s="114"/>
      <c r="K2" s="114"/>
      <c r="L2" s="114"/>
      <c r="M2" s="114"/>
      <c r="N2" s="114"/>
      <c r="O2" s="114"/>
      <c r="P2" s="16"/>
      <c r="Q2" s="123">
        <v>1</v>
      </c>
      <c r="R2" s="116"/>
      <c r="S2" s="116"/>
      <c r="T2" s="116"/>
      <c r="U2" s="116"/>
      <c r="V2" s="116"/>
      <c r="W2" s="116"/>
      <c r="X2" s="116"/>
      <c r="Y2" s="116"/>
      <c r="Z2" s="116"/>
    </row>
    <row r="3" spans="1:64" s="18" customFormat="1" ht="30" customHeight="1" x14ac:dyDescent="0.25">
      <c r="A3" s="6"/>
      <c r="B3" s="17" t="s">
        <v>4</v>
      </c>
      <c r="D3" s="19"/>
      <c r="E3" s="20"/>
      <c r="X3" s="84"/>
      <c r="Z3" s="84"/>
    </row>
    <row r="4" spans="1:64" s="18" customFormat="1" ht="30" customHeight="1" x14ac:dyDescent="0.25">
      <c r="A4" s="7"/>
      <c r="B4" s="21" t="s">
        <v>5</v>
      </c>
      <c r="E4" s="22"/>
      <c r="I4" s="126">
        <f>I5</f>
        <v>46076</v>
      </c>
      <c r="J4" s="124"/>
      <c r="K4" s="124"/>
      <c r="L4" s="124"/>
      <c r="M4" s="124"/>
      <c r="N4" s="124"/>
      <c r="O4" s="124"/>
      <c r="P4" s="124">
        <f>P5</f>
        <v>46083</v>
      </c>
      <c r="Q4" s="124"/>
      <c r="R4" s="124"/>
      <c r="S4" s="124"/>
      <c r="T4" s="124"/>
      <c r="U4" s="124"/>
      <c r="V4" s="124"/>
      <c r="W4" s="124">
        <f>W5</f>
        <v>46090</v>
      </c>
      <c r="X4" s="124"/>
      <c r="Y4" s="124"/>
      <c r="Z4" s="124"/>
      <c r="AA4" s="124"/>
      <c r="AB4" s="124"/>
      <c r="AC4" s="124"/>
      <c r="AD4" s="124">
        <f>AD5</f>
        <v>46097</v>
      </c>
      <c r="AE4" s="124"/>
      <c r="AF4" s="124"/>
      <c r="AG4" s="124"/>
      <c r="AH4" s="124"/>
      <c r="AI4" s="124"/>
      <c r="AJ4" s="124"/>
      <c r="AK4" s="124">
        <f>AK5</f>
        <v>46104</v>
      </c>
      <c r="AL4" s="124"/>
      <c r="AM4" s="124"/>
      <c r="AN4" s="124"/>
      <c r="AO4" s="124"/>
      <c r="AP4" s="124"/>
      <c r="AQ4" s="124"/>
      <c r="AR4" s="124">
        <f>AR5</f>
        <v>46111</v>
      </c>
      <c r="AS4" s="124"/>
      <c r="AT4" s="124"/>
      <c r="AU4" s="124"/>
      <c r="AV4" s="124"/>
      <c r="AW4" s="124"/>
      <c r="AX4" s="124"/>
      <c r="AY4" s="124">
        <f>AY5</f>
        <v>46118</v>
      </c>
      <c r="AZ4" s="124"/>
      <c r="BA4" s="124"/>
      <c r="BB4" s="124"/>
      <c r="BC4" s="124"/>
      <c r="BD4" s="124"/>
      <c r="BE4" s="124"/>
      <c r="BF4" s="124">
        <f>BF5</f>
        <v>46125</v>
      </c>
      <c r="BG4" s="124"/>
      <c r="BH4" s="124"/>
      <c r="BI4" s="124"/>
      <c r="BJ4" s="124"/>
      <c r="BK4" s="124"/>
      <c r="BL4" s="125"/>
    </row>
    <row r="5" spans="1:64" s="18" customFormat="1" ht="15" customHeight="1" x14ac:dyDescent="0.25">
      <c r="A5" s="117"/>
      <c r="B5" s="118" t="s">
        <v>6</v>
      </c>
      <c r="C5" s="120" t="s">
        <v>7</v>
      </c>
      <c r="D5" s="122" t="s">
        <v>8</v>
      </c>
      <c r="E5" s="122" t="s">
        <v>9</v>
      </c>
      <c r="F5" s="122" t="s">
        <v>10</v>
      </c>
      <c r="I5" s="23">
        <f>Project_Start-WEEKDAY(Project_Start,1)+2+7*(Display_Week-1)</f>
        <v>46076</v>
      </c>
      <c r="J5" s="23">
        <f>I5+1</f>
        <v>46077</v>
      </c>
      <c r="K5" s="23">
        <f t="shared" ref="K5:AX5" si="0">J5+1</f>
        <v>46078</v>
      </c>
      <c r="L5" s="23">
        <f t="shared" si="0"/>
        <v>46079</v>
      </c>
      <c r="M5" s="23">
        <f t="shared" si="0"/>
        <v>46080</v>
      </c>
      <c r="N5" s="23">
        <f t="shared" si="0"/>
        <v>46081</v>
      </c>
      <c r="O5" s="24">
        <f t="shared" si="0"/>
        <v>46082</v>
      </c>
      <c r="P5" s="25">
        <f>O5+1</f>
        <v>46083</v>
      </c>
      <c r="Q5" s="23">
        <f>P5+1</f>
        <v>46084</v>
      </c>
      <c r="R5" s="23">
        <f t="shared" si="0"/>
        <v>46085</v>
      </c>
      <c r="S5" s="23">
        <f t="shared" si="0"/>
        <v>46086</v>
      </c>
      <c r="T5" s="23">
        <f t="shared" si="0"/>
        <v>46087</v>
      </c>
      <c r="U5" s="23">
        <f t="shared" si="0"/>
        <v>46088</v>
      </c>
      <c r="V5" s="24">
        <f t="shared" si="0"/>
        <v>46089</v>
      </c>
      <c r="W5" s="25">
        <f>V5+1</f>
        <v>46090</v>
      </c>
      <c r="X5" s="103">
        <f>W5+1</f>
        <v>46091</v>
      </c>
      <c r="Y5" s="23">
        <f t="shared" si="0"/>
        <v>46092</v>
      </c>
      <c r="Z5" s="92">
        <f t="shared" si="0"/>
        <v>46093</v>
      </c>
      <c r="AA5" s="23">
        <f t="shared" si="0"/>
        <v>46094</v>
      </c>
      <c r="AB5" s="23">
        <f t="shared" si="0"/>
        <v>46095</v>
      </c>
      <c r="AC5" s="24">
        <f t="shared" si="0"/>
        <v>46096</v>
      </c>
      <c r="AD5" s="25">
        <f>AC5+1</f>
        <v>46097</v>
      </c>
      <c r="AE5" s="23">
        <f>AD5+1</f>
        <v>46098</v>
      </c>
      <c r="AF5" s="23">
        <f t="shared" si="0"/>
        <v>46099</v>
      </c>
      <c r="AG5" s="23">
        <f t="shared" si="0"/>
        <v>46100</v>
      </c>
      <c r="AH5" s="23">
        <f t="shared" si="0"/>
        <v>46101</v>
      </c>
      <c r="AI5" s="23">
        <f t="shared" si="0"/>
        <v>46102</v>
      </c>
      <c r="AJ5" s="24">
        <f t="shared" si="0"/>
        <v>46103</v>
      </c>
      <c r="AK5" s="25">
        <f>AJ5+1</f>
        <v>46104</v>
      </c>
      <c r="AL5" s="23">
        <f>AK5+1</f>
        <v>46105</v>
      </c>
      <c r="AM5" s="23">
        <f t="shared" si="0"/>
        <v>46106</v>
      </c>
      <c r="AN5" s="23">
        <f t="shared" si="0"/>
        <v>46107</v>
      </c>
      <c r="AO5" s="23">
        <f t="shared" si="0"/>
        <v>46108</v>
      </c>
      <c r="AP5" s="23">
        <f t="shared" si="0"/>
        <v>46109</v>
      </c>
      <c r="AQ5" s="24">
        <f t="shared" si="0"/>
        <v>46110</v>
      </c>
      <c r="AR5" s="25">
        <f>AQ5+1</f>
        <v>46111</v>
      </c>
      <c r="AS5" s="82">
        <f>AR5+1</f>
        <v>46112</v>
      </c>
      <c r="AT5" s="23">
        <f t="shared" si="0"/>
        <v>46113</v>
      </c>
      <c r="AU5" s="23">
        <f t="shared" si="0"/>
        <v>46114</v>
      </c>
      <c r="AV5" s="23">
        <f t="shared" si="0"/>
        <v>46115</v>
      </c>
      <c r="AW5" s="23">
        <f t="shared" si="0"/>
        <v>46116</v>
      </c>
      <c r="AX5" s="24">
        <f t="shared" si="0"/>
        <v>46117</v>
      </c>
      <c r="AY5" s="25">
        <f>AX5+1</f>
        <v>46118</v>
      </c>
      <c r="AZ5" s="23">
        <f>AY5+1</f>
        <v>46119</v>
      </c>
      <c r="BA5" s="23">
        <f t="shared" ref="BA5:BE5" si="1">AZ5+1</f>
        <v>46120</v>
      </c>
      <c r="BB5" s="23">
        <f t="shared" si="1"/>
        <v>46121</v>
      </c>
      <c r="BC5" s="23">
        <f t="shared" si="1"/>
        <v>46122</v>
      </c>
      <c r="BD5" s="23">
        <f t="shared" si="1"/>
        <v>46123</v>
      </c>
      <c r="BE5" s="24">
        <f t="shared" si="1"/>
        <v>46124</v>
      </c>
      <c r="BF5" s="25">
        <f>BE5+1</f>
        <v>46125</v>
      </c>
      <c r="BG5" s="23">
        <f>BF5+1</f>
        <v>46126</v>
      </c>
      <c r="BH5" s="23">
        <f t="shared" ref="BH5:BL5" si="2">BG5+1</f>
        <v>46127</v>
      </c>
      <c r="BI5" s="23">
        <f t="shared" si="2"/>
        <v>46128</v>
      </c>
      <c r="BJ5" s="23">
        <f t="shared" si="2"/>
        <v>46129</v>
      </c>
      <c r="BK5" s="23">
        <f t="shared" si="2"/>
        <v>46130</v>
      </c>
      <c r="BL5" s="23">
        <f t="shared" si="2"/>
        <v>46131</v>
      </c>
    </row>
    <row r="6" spans="1:64" s="18" customFormat="1" ht="15" customHeight="1" thickBot="1" x14ac:dyDescent="0.3">
      <c r="A6" s="117"/>
      <c r="B6" s="119"/>
      <c r="C6" s="121"/>
      <c r="D6" s="121"/>
      <c r="E6" s="121"/>
      <c r="F6" s="121"/>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102"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83"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8" customFormat="1" ht="30" hidden="1" customHeight="1" thickBot="1" x14ac:dyDescent="0.3">
      <c r="A7" s="6" t="s">
        <v>11</v>
      </c>
      <c r="B7" s="29"/>
      <c r="C7" s="30"/>
      <c r="D7" s="29"/>
      <c r="E7" s="29"/>
      <c r="F7" s="29"/>
      <c r="H7" s="18" t="str">
        <f>IF(OR(ISBLANK(task_start),ISBLANK(task_end)),"",task_end-task_start+1)</f>
        <v/>
      </c>
      <c r="I7" s="31"/>
      <c r="J7" s="31"/>
      <c r="K7" s="31"/>
      <c r="L7" s="31"/>
      <c r="M7" s="31"/>
      <c r="N7" s="31"/>
      <c r="O7" s="31"/>
      <c r="P7" s="31"/>
      <c r="Q7" s="31"/>
      <c r="R7" s="31"/>
      <c r="S7" s="31"/>
      <c r="T7" s="31"/>
      <c r="U7" s="31"/>
      <c r="V7" s="31"/>
      <c r="W7" s="100"/>
      <c r="X7" s="97"/>
      <c r="Y7" s="100"/>
      <c r="Z7" s="85"/>
      <c r="AA7" s="31"/>
      <c r="AB7" s="31"/>
      <c r="AC7" s="31"/>
      <c r="AD7" s="31"/>
      <c r="AE7" s="31"/>
      <c r="AF7" s="31"/>
      <c r="AG7" s="31"/>
      <c r="AH7" s="31"/>
      <c r="AI7" s="31"/>
      <c r="AJ7" s="31"/>
      <c r="AK7" s="31"/>
      <c r="AL7" s="31"/>
      <c r="AM7" s="31"/>
      <c r="AN7" s="31"/>
      <c r="AO7" s="31"/>
      <c r="AP7" s="31"/>
      <c r="AQ7" s="31"/>
      <c r="AR7" s="31"/>
      <c r="AS7" s="104"/>
      <c r="AT7" s="31"/>
      <c r="AU7" s="31"/>
      <c r="AV7" s="31"/>
      <c r="AW7" s="31"/>
      <c r="AX7" s="31"/>
      <c r="AY7" s="31"/>
      <c r="AZ7" s="31"/>
      <c r="BA7" s="31"/>
      <c r="BB7" s="31"/>
      <c r="BC7" s="31"/>
      <c r="BD7" s="31"/>
      <c r="BE7" s="31"/>
      <c r="BF7" s="31"/>
      <c r="BG7" s="31"/>
      <c r="BH7" s="31"/>
      <c r="BI7" s="31"/>
      <c r="BJ7" s="31"/>
      <c r="BK7" s="31"/>
      <c r="BL7" s="31"/>
    </row>
    <row r="8" spans="1:64" s="38" customFormat="1" ht="30" customHeight="1" thickBot="1" x14ac:dyDescent="0.3">
      <c r="A8" s="7"/>
      <c r="B8" s="32" t="s">
        <v>12</v>
      </c>
      <c r="C8" s="33"/>
      <c r="D8" s="34"/>
      <c r="E8" s="35"/>
      <c r="F8" s="36"/>
      <c r="G8" s="10"/>
      <c r="H8" s="5" t="str">
        <f t="shared" ref="H8:H33" si="5">IF(OR(ISBLANK(task_start),ISBLANK(task_end)),"",task_end-task_start+1)</f>
        <v/>
      </c>
      <c r="I8" s="37"/>
      <c r="J8" s="37"/>
      <c r="K8" s="37"/>
      <c r="L8" s="37"/>
      <c r="M8" s="37"/>
      <c r="N8" s="37"/>
      <c r="O8" s="37"/>
      <c r="P8" s="37"/>
      <c r="Q8" s="37"/>
      <c r="R8" s="37"/>
      <c r="S8" s="37"/>
      <c r="T8" s="37"/>
      <c r="U8" s="37"/>
      <c r="V8" s="37"/>
      <c r="W8" s="37"/>
      <c r="X8" s="98"/>
      <c r="Y8" s="37"/>
      <c r="Z8" s="86"/>
      <c r="AA8" s="37"/>
      <c r="AB8" s="37"/>
      <c r="AC8" s="37"/>
      <c r="AD8" s="37"/>
      <c r="AE8" s="37"/>
      <c r="AF8" s="37"/>
      <c r="AG8" s="37"/>
      <c r="AH8" s="37"/>
      <c r="AI8" s="37"/>
      <c r="AJ8" s="37"/>
      <c r="AK8" s="37"/>
      <c r="AL8" s="37"/>
      <c r="AM8" s="37"/>
      <c r="AN8" s="37"/>
      <c r="AO8" s="37"/>
      <c r="AP8" s="37"/>
      <c r="AQ8" s="37"/>
      <c r="AR8" s="37"/>
      <c r="AS8" s="105"/>
      <c r="AT8" s="37"/>
      <c r="AU8" s="37"/>
      <c r="AV8" s="37"/>
      <c r="AW8" s="37"/>
      <c r="AX8" s="37"/>
      <c r="AY8" s="37"/>
      <c r="AZ8" s="37"/>
      <c r="BA8" s="37"/>
      <c r="BB8" s="37"/>
      <c r="BC8" s="37"/>
      <c r="BD8" s="37"/>
      <c r="BE8" s="37"/>
      <c r="BF8" s="37"/>
      <c r="BG8" s="37"/>
      <c r="BH8" s="37"/>
      <c r="BI8" s="37"/>
      <c r="BJ8" s="37"/>
      <c r="BK8" s="37"/>
      <c r="BL8" s="37"/>
    </row>
    <row r="9" spans="1:64" s="38" customFormat="1" ht="30" customHeight="1" thickBot="1" x14ac:dyDescent="0.3">
      <c r="A9" s="7"/>
      <c r="B9" s="39" t="s">
        <v>29</v>
      </c>
      <c r="C9" s="44" t="s">
        <v>2</v>
      </c>
      <c r="D9" s="40">
        <v>1</v>
      </c>
      <c r="E9" s="41">
        <f>Project_Start</f>
        <v>46079</v>
      </c>
      <c r="F9" s="41">
        <f>E9</f>
        <v>46079</v>
      </c>
      <c r="G9" s="10"/>
      <c r="H9" s="5">
        <f t="shared" si="5"/>
        <v>1</v>
      </c>
      <c r="I9" s="42"/>
      <c r="J9" s="42"/>
      <c r="K9" s="42"/>
      <c r="L9" s="42"/>
      <c r="M9" s="42"/>
      <c r="N9" s="42"/>
      <c r="O9" s="42"/>
      <c r="P9" s="42"/>
      <c r="Q9" s="42"/>
      <c r="R9" s="42"/>
      <c r="S9" s="42"/>
      <c r="T9" s="42"/>
      <c r="U9" s="42"/>
      <c r="V9" s="42"/>
      <c r="W9" s="99"/>
      <c r="X9" s="96"/>
      <c r="Y9" s="99"/>
      <c r="Z9" s="87"/>
      <c r="AA9" s="42"/>
      <c r="AB9" s="42"/>
      <c r="AC9" s="42"/>
      <c r="AD9" s="42"/>
      <c r="AE9" s="42"/>
      <c r="AF9" s="42"/>
      <c r="AG9" s="42"/>
      <c r="AH9" s="42"/>
      <c r="AI9" s="42"/>
      <c r="AJ9" s="42"/>
      <c r="AK9" s="42"/>
      <c r="AL9" s="42"/>
      <c r="AM9" s="42"/>
      <c r="AN9" s="42"/>
      <c r="AO9" s="42"/>
      <c r="AP9" s="42"/>
      <c r="AQ9" s="42"/>
      <c r="AR9" s="42"/>
      <c r="AS9" s="106"/>
      <c r="AT9" s="42"/>
      <c r="AU9" s="42"/>
      <c r="AV9" s="42"/>
      <c r="AW9" s="42"/>
      <c r="AX9" s="42"/>
      <c r="AY9" s="42"/>
      <c r="AZ9" s="42"/>
      <c r="BA9" s="42"/>
      <c r="BB9" s="42"/>
      <c r="BC9" s="42"/>
      <c r="BD9" s="42"/>
      <c r="BE9" s="42"/>
      <c r="BF9" s="42"/>
      <c r="BG9" s="42"/>
      <c r="BH9" s="42"/>
      <c r="BI9" s="42"/>
      <c r="BJ9" s="42"/>
      <c r="BK9" s="42"/>
      <c r="BL9" s="42"/>
    </row>
    <row r="10" spans="1:64" s="38" customFormat="1" ht="30" customHeight="1" thickBot="1" x14ac:dyDescent="0.3">
      <c r="A10" s="7"/>
      <c r="B10" s="39" t="s">
        <v>28</v>
      </c>
      <c r="C10" s="44" t="s">
        <v>2</v>
      </c>
      <c r="D10" s="40">
        <v>1</v>
      </c>
      <c r="E10" s="45">
        <f>F9+1</f>
        <v>46080</v>
      </c>
      <c r="F10" s="45">
        <f>E10+1</f>
        <v>46081</v>
      </c>
      <c r="G10" s="10"/>
      <c r="H10" s="5"/>
      <c r="I10" s="42"/>
      <c r="J10" s="42"/>
      <c r="K10" s="42"/>
      <c r="L10" s="42"/>
      <c r="M10" s="42"/>
      <c r="N10" s="42"/>
      <c r="O10" s="42"/>
      <c r="P10" s="42"/>
      <c r="Q10" s="42"/>
      <c r="R10" s="42"/>
      <c r="S10" s="42"/>
      <c r="T10" s="42"/>
      <c r="U10" s="42"/>
      <c r="V10" s="42"/>
      <c r="W10" s="99"/>
      <c r="X10" s="96"/>
      <c r="Y10" s="99"/>
      <c r="Z10" s="87"/>
      <c r="AA10" s="42"/>
      <c r="AB10" s="42"/>
      <c r="AC10" s="42"/>
      <c r="AD10" s="42"/>
      <c r="AE10" s="42"/>
      <c r="AF10" s="42"/>
      <c r="AG10" s="42"/>
      <c r="AH10" s="42"/>
      <c r="AI10" s="42"/>
      <c r="AJ10" s="42"/>
      <c r="AK10" s="42"/>
      <c r="AL10" s="42"/>
      <c r="AM10" s="42"/>
      <c r="AN10" s="42"/>
      <c r="AO10" s="42"/>
      <c r="AP10" s="42"/>
      <c r="AQ10" s="42"/>
      <c r="AR10" s="42"/>
      <c r="AS10" s="106"/>
      <c r="AT10" s="42"/>
      <c r="AU10" s="42"/>
      <c r="AV10" s="42"/>
      <c r="AW10" s="42"/>
      <c r="AX10" s="42"/>
      <c r="AY10" s="42"/>
      <c r="AZ10" s="42"/>
      <c r="BA10" s="42"/>
      <c r="BB10" s="42"/>
      <c r="BC10" s="42"/>
      <c r="BD10" s="42"/>
      <c r="BE10" s="42"/>
      <c r="BF10" s="42"/>
      <c r="BG10" s="42"/>
      <c r="BH10" s="42"/>
      <c r="BI10" s="42"/>
      <c r="BJ10" s="42"/>
      <c r="BK10" s="42"/>
      <c r="BL10" s="42"/>
    </row>
    <row r="11" spans="1:64" s="38" customFormat="1" ht="30" customHeight="1" thickBot="1" x14ac:dyDescent="0.3">
      <c r="A11" s="7"/>
      <c r="B11" s="39" t="s">
        <v>30</v>
      </c>
      <c r="C11" s="44" t="s">
        <v>2</v>
      </c>
      <c r="D11" s="40">
        <v>1</v>
      </c>
      <c r="E11" s="45">
        <f t="shared" ref="E11:E14" si="6">F10+1</f>
        <v>46082</v>
      </c>
      <c r="F11" s="45">
        <f t="shared" ref="F11:F13" si="7">E11+1</f>
        <v>46083</v>
      </c>
      <c r="G11" s="10"/>
      <c r="H11" s="5"/>
      <c r="I11" s="42"/>
      <c r="J11" s="42"/>
      <c r="K11" s="42"/>
      <c r="L11" s="42"/>
      <c r="M11" s="42"/>
      <c r="N11" s="42"/>
      <c r="O11" s="42"/>
      <c r="P11" s="42"/>
      <c r="Q11" s="42"/>
      <c r="R11" s="42"/>
      <c r="S11" s="42"/>
      <c r="T11" s="42"/>
      <c r="U11" s="42"/>
      <c r="V11" s="42"/>
      <c r="W11" s="99"/>
      <c r="X11" s="96"/>
      <c r="Y11" s="99"/>
      <c r="Z11" s="87"/>
      <c r="AA11" s="42"/>
      <c r="AB11" s="42"/>
      <c r="AC11" s="42"/>
      <c r="AD11" s="42"/>
      <c r="AE11" s="42"/>
      <c r="AF11" s="42"/>
      <c r="AG11" s="42"/>
      <c r="AH11" s="42"/>
      <c r="AI11" s="42"/>
      <c r="AJ11" s="42"/>
      <c r="AK11" s="42"/>
      <c r="AL11" s="42"/>
      <c r="AM11" s="42"/>
      <c r="AN11" s="42"/>
      <c r="AO11" s="42"/>
      <c r="AP11" s="42"/>
      <c r="AQ11" s="42"/>
      <c r="AR11" s="42"/>
      <c r="AS11" s="106"/>
      <c r="AT11" s="42"/>
      <c r="AU11" s="42"/>
      <c r="AV11" s="42"/>
      <c r="AW11" s="42"/>
      <c r="AX11" s="42"/>
      <c r="AY11" s="42"/>
      <c r="AZ11" s="42"/>
      <c r="BA11" s="42"/>
      <c r="BB11" s="42"/>
      <c r="BC11" s="42"/>
      <c r="BD11" s="42"/>
      <c r="BE11" s="42"/>
      <c r="BF11" s="42"/>
      <c r="BG11" s="42"/>
      <c r="BH11" s="42"/>
      <c r="BI11" s="42"/>
      <c r="BJ11" s="42"/>
      <c r="BK11" s="42"/>
      <c r="BL11" s="42"/>
    </row>
    <row r="12" spans="1:64" s="38" customFormat="1" ht="30" customHeight="1" thickBot="1" x14ac:dyDescent="0.3">
      <c r="A12" s="7"/>
      <c r="B12" s="39" t="s">
        <v>31</v>
      </c>
      <c r="C12" s="44" t="s">
        <v>2</v>
      </c>
      <c r="D12" s="40">
        <v>1</v>
      </c>
      <c r="E12" s="45">
        <f t="shared" si="6"/>
        <v>46084</v>
      </c>
      <c r="F12" s="45">
        <f t="shared" si="7"/>
        <v>46085</v>
      </c>
      <c r="G12" s="10"/>
      <c r="H12" s="5"/>
      <c r="I12" s="42"/>
      <c r="J12" s="42"/>
      <c r="K12" s="42"/>
      <c r="L12" s="42"/>
      <c r="M12" s="42"/>
      <c r="N12" s="42"/>
      <c r="O12" s="42"/>
      <c r="P12" s="42"/>
      <c r="Q12" s="42"/>
      <c r="R12" s="42"/>
      <c r="S12" s="42"/>
      <c r="T12" s="42"/>
      <c r="U12" s="42"/>
      <c r="V12" s="42"/>
      <c r="W12" s="99"/>
      <c r="X12" s="96"/>
      <c r="Y12" s="99"/>
      <c r="Z12" s="87"/>
      <c r="AA12" s="42"/>
      <c r="AB12" s="42"/>
      <c r="AC12" s="42"/>
      <c r="AD12" s="42"/>
      <c r="AE12" s="42"/>
      <c r="AF12" s="42"/>
      <c r="AG12" s="42"/>
      <c r="AH12" s="42"/>
      <c r="AI12" s="42"/>
      <c r="AJ12" s="42"/>
      <c r="AK12" s="42"/>
      <c r="AL12" s="42"/>
      <c r="AM12" s="42"/>
      <c r="AN12" s="42"/>
      <c r="AO12" s="42"/>
      <c r="AP12" s="42"/>
      <c r="AQ12" s="42"/>
      <c r="AR12" s="42"/>
      <c r="AS12" s="106"/>
      <c r="AT12" s="42"/>
      <c r="AU12" s="42"/>
      <c r="AV12" s="42"/>
      <c r="AW12" s="42"/>
      <c r="AX12" s="42"/>
      <c r="AY12" s="42"/>
      <c r="AZ12" s="42"/>
      <c r="BA12" s="42"/>
      <c r="BB12" s="42"/>
      <c r="BC12" s="42"/>
      <c r="BD12" s="42"/>
      <c r="BE12" s="42"/>
      <c r="BF12" s="42"/>
      <c r="BG12" s="42"/>
      <c r="BH12" s="42"/>
      <c r="BI12" s="42"/>
      <c r="BJ12" s="42"/>
      <c r="BK12" s="42"/>
      <c r="BL12" s="42"/>
    </row>
    <row r="13" spans="1:64" s="38" customFormat="1" ht="30" customHeight="1" thickBot="1" x14ac:dyDescent="0.3">
      <c r="A13" s="7"/>
      <c r="B13" s="43" t="s">
        <v>32</v>
      </c>
      <c r="C13" s="44" t="s">
        <v>2</v>
      </c>
      <c r="D13" s="40">
        <v>1</v>
      </c>
      <c r="E13" s="45">
        <f t="shared" si="6"/>
        <v>46086</v>
      </c>
      <c r="F13" s="45">
        <f t="shared" si="7"/>
        <v>46087</v>
      </c>
      <c r="G13" s="10"/>
      <c r="H13" s="5"/>
      <c r="I13" s="42"/>
      <c r="J13" s="42"/>
      <c r="K13" s="42"/>
      <c r="L13" s="42"/>
      <c r="M13" s="42"/>
      <c r="N13" s="42"/>
      <c r="O13" s="42"/>
      <c r="P13" s="42"/>
      <c r="S13" s="42"/>
      <c r="T13" s="42"/>
      <c r="U13" s="46"/>
      <c r="V13" s="46"/>
      <c r="W13" s="99"/>
      <c r="X13" s="96"/>
      <c r="Y13" s="99"/>
      <c r="Z13" s="87"/>
      <c r="AA13" s="42"/>
      <c r="AB13" s="42"/>
      <c r="AC13" s="42"/>
      <c r="AD13" s="42"/>
      <c r="AE13" s="42"/>
      <c r="AF13" s="42"/>
      <c r="AG13" s="42"/>
      <c r="AH13" s="42"/>
      <c r="AI13" s="42"/>
      <c r="AJ13" s="42"/>
      <c r="AK13" s="42"/>
      <c r="AL13" s="42"/>
      <c r="AM13" s="42"/>
      <c r="AN13" s="42"/>
      <c r="AO13" s="42"/>
      <c r="AP13" s="42"/>
      <c r="AQ13" s="42"/>
      <c r="AR13" s="42"/>
      <c r="AS13" s="106"/>
      <c r="AT13" s="42"/>
      <c r="AU13" s="42"/>
      <c r="AV13" s="42"/>
      <c r="AW13" s="42"/>
      <c r="AX13" s="42"/>
      <c r="AY13" s="42"/>
      <c r="AZ13" s="42"/>
      <c r="BA13" s="42"/>
      <c r="BB13" s="42"/>
      <c r="BC13" s="42"/>
      <c r="BD13" s="42"/>
      <c r="BE13" s="42"/>
      <c r="BF13" s="42"/>
      <c r="BG13" s="42"/>
      <c r="BH13" s="42"/>
      <c r="BI13" s="42"/>
      <c r="BJ13" s="42"/>
      <c r="BK13" s="42"/>
      <c r="BL13" s="42"/>
    </row>
    <row r="14" spans="1:64" s="38" customFormat="1" ht="30" customHeight="1" thickBot="1" x14ac:dyDescent="0.3">
      <c r="A14" s="7"/>
      <c r="B14" s="110" t="s">
        <v>33</v>
      </c>
      <c r="C14" s="44" t="s">
        <v>2</v>
      </c>
      <c r="D14" s="40">
        <v>1</v>
      </c>
      <c r="E14" s="45">
        <f t="shared" si="6"/>
        <v>46088</v>
      </c>
      <c r="F14" s="45">
        <f>E14+4</f>
        <v>46092</v>
      </c>
      <c r="G14" s="10"/>
      <c r="H14" s="5">
        <f t="shared" si="5"/>
        <v>5</v>
      </c>
      <c r="I14" s="42"/>
      <c r="J14" s="42"/>
      <c r="K14" s="42"/>
      <c r="L14" s="42"/>
      <c r="M14" s="42"/>
      <c r="N14" s="42"/>
      <c r="O14" s="42"/>
      <c r="P14" s="42"/>
      <c r="Q14" s="42"/>
      <c r="R14" s="42"/>
      <c r="S14" s="42"/>
      <c r="T14" s="42"/>
      <c r="U14" s="111"/>
      <c r="V14" s="111"/>
      <c r="W14" s="112"/>
      <c r="X14" s="95"/>
      <c r="Y14" s="112"/>
      <c r="Z14" s="88"/>
      <c r="AS14" s="107"/>
    </row>
    <row r="15" spans="1:64" s="38" customFormat="1" ht="30" customHeight="1" thickBot="1" x14ac:dyDescent="0.3">
      <c r="A15" s="7"/>
      <c r="B15" s="47" t="s">
        <v>13</v>
      </c>
      <c r="C15" s="48"/>
      <c r="D15" s="49"/>
      <c r="E15" s="50"/>
      <c r="F15" s="51"/>
      <c r="G15" s="10"/>
      <c r="H15" s="5" t="str">
        <f t="shared" si="5"/>
        <v/>
      </c>
      <c r="X15" s="95"/>
      <c r="Z15" s="88"/>
      <c r="AS15" s="107"/>
    </row>
    <row r="16" spans="1:64" s="38" customFormat="1" ht="30" customHeight="1" thickBot="1" x14ac:dyDescent="0.3">
      <c r="A16" s="7"/>
      <c r="B16" s="52" t="s">
        <v>34</v>
      </c>
      <c r="C16" s="53" t="s">
        <v>2</v>
      </c>
      <c r="D16" s="40">
        <v>1</v>
      </c>
      <c r="E16" s="54">
        <f>E13+1</f>
        <v>46087</v>
      </c>
      <c r="F16" s="54">
        <f>E16+1</f>
        <v>46088</v>
      </c>
      <c r="G16" s="10"/>
      <c r="H16" s="5">
        <f t="shared" si="5"/>
        <v>2</v>
      </c>
      <c r="I16" s="42"/>
      <c r="J16" s="42"/>
      <c r="K16" s="42"/>
      <c r="L16" s="42"/>
      <c r="M16" s="42"/>
      <c r="N16" s="42"/>
      <c r="O16" s="42"/>
      <c r="P16" s="42"/>
      <c r="Q16" s="42"/>
      <c r="R16" s="42"/>
      <c r="S16" s="42"/>
      <c r="T16" s="42"/>
      <c r="U16" s="42"/>
      <c r="V16" s="42"/>
      <c r="W16" s="99"/>
      <c r="X16" s="96"/>
      <c r="Y16" s="99"/>
      <c r="Z16" s="87"/>
      <c r="AA16" s="42"/>
      <c r="AB16" s="42"/>
      <c r="AC16" s="42"/>
      <c r="AD16" s="42"/>
      <c r="AE16" s="42"/>
      <c r="AF16" s="42"/>
      <c r="AG16" s="42"/>
      <c r="AH16" s="42"/>
      <c r="AI16" s="42"/>
      <c r="AJ16" s="42"/>
      <c r="AK16" s="42"/>
      <c r="AL16" s="42"/>
      <c r="AM16" s="42"/>
      <c r="AN16" s="42"/>
      <c r="AO16" s="42"/>
      <c r="AP16" s="42"/>
      <c r="AQ16" s="42"/>
      <c r="AR16" s="42"/>
      <c r="AS16" s="106"/>
      <c r="AT16" s="42"/>
      <c r="AU16" s="42"/>
      <c r="AV16" s="42"/>
      <c r="AW16" s="42"/>
      <c r="AX16" s="42"/>
      <c r="AY16" s="42"/>
      <c r="AZ16" s="42"/>
      <c r="BA16" s="42"/>
      <c r="BB16" s="42"/>
      <c r="BC16" s="42"/>
      <c r="BD16" s="42"/>
      <c r="BE16" s="42"/>
      <c r="BF16" s="42"/>
      <c r="BG16" s="42"/>
      <c r="BH16" s="42"/>
      <c r="BI16" s="42"/>
      <c r="BJ16" s="42"/>
      <c r="BK16" s="42"/>
      <c r="BL16" s="42"/>
    </row>
    <row r="17" spans="1:64" s="38" customFormat="1" ht="30" customHeight="1" thickBot="1" x14ac:dyDescent="0.3">
      <c r="A17" s="6"/>
      <c r="B17" s="52" t="s">
        <v>36</v>
      </c>
      <c r="C17" s="53" t="s">
        <v>2</v>
      </c>
      <c r="D17" s="40">
        <v>1</v>
      </c>
      <c r="E17" s="54">
        <f>F16+1</f>
        <v>46089</v>
      </c>
      <c r="F17" s="54">
        <f t="shared" ref="F17:F19" si="8">E17+1</f>
        <v>46090</v>
      </c>
      <c r="G17" s="10"/>
      <c r="H17" s="5">
        <f t="shared" si="5"/>
        <v>2</v>
      </c>
      <c r="I17" s="42"/>
      <c r="J17" s="42"/>
      <c r="K17" s="42"/>
      <c r="L17" s="42"/>
      <c r="M17" s="42"/>
      <c r="N17" s="42"/>
      <c r="O17" s="42"/>
      <c r="P17" s="42"/>
      <c r="Q17" s="42"/>
      <c r="R17" s="42"/>
      <c r="S17" s="42"/>
      <c r="T17" s="42"/>
      <c r="U17" s="46"/>
      <c r="V17" s="46"/>
      <c r="W17" s="99"/>
      <c r="X17" s="96"/>
      <c r="Y17" s="99"/>
      <c r="Z17" s="87"/>
      <c r="AA17" s="42"/>
      <c r="AB17" s="42"/>
      <c r="AC17" s="42"/>
      <c r="AD17" s="42"/>
      <c r="AE17" s="42"/>
      <c r="AF17" s="42"/>
      <c r="AG17" s="42"/>
      <c r="AH17" s="42"/>
      <c r="AI17" s="42"/>
      <c r="AJ17" s="42"/>
      <c r="AK17" s="42"/>
      <c r="AL17" s="42"/>
      <c r="AM17" s="42"/>
      <c r="AN17" s="42"/>
      <c r="AO17" s="42"/>
      <c r="AP17" s="42"/>
      <c r="AQ17" s="42"/>
      <c r="AR17" s="42"/>
      <c r="AS17" s="106"/>
      <c r="AT17" s="42"/>
      <c r="AU17" s="42"/>
      <c r="AV17" s="42"/>
      <c r="AW17" s="42"/>
      <c r="AX17" s="42"/>
      <c r="AY17" s="42"/>
      <c r="AZ17" s="42"/>
      <c r="BA17" s="42"/>
      <c r="BB17" s="42"/>
      <c r="BC17" s="42"/>
      <c r="BD17" s="42"/>
      <c r="BE17" s="42"/>
      <c r="BF17" s="42"/>
      <c r="BG17" s="42"/>
      <c r="BH17" s="42"/>
      <c r="BI17" s="42"/>
      <c r="BJ17" s="42"/>
      <c r="BK17" s="42"/>
      <c r="BL17" s="42"/>
    </row>
    <row r="18" spans="1:64" s="38" customFormat="1" ht="30" customHeight="1" thickBot="1" x14ac:dyDescent="0.3">
      <c r="A18" s="6"/>
      <c r="B18" s="52" t="s">
        <v>37</v>
      </c>
      <c r="C18" s="53" t="s">
        <v>2</v>
      </c>
      <c r="D18" s="40">
        <v>1</v>
      </c>
      <c r="E18" s="54">
        <f>F17+1</f>
        <v>46091</v>
      </c>
      <c r="F18" s="54">
        <f t="shared" si="8"/>
        <v>46092</v>
      </c>
      <c r="G18" s="10"/>
      <c r="H18" s="5">
        <f t="shared" si="5"/>
        <v>2</v>
      </c>
      <c r="I18" s="42"/>
      <c r="J18" s="42"/>
      <c r="K18" s="42"/>
      <c r="L18" s="42"/>
      <c r="M18" s="42"/>
      <c r="N18" s="42"/>
      <c r="O18" s="42"/>
      <c r="P18" s="42"/>
      <c r="Q18" s="42"/>
      <c r="R18" s="42"/>
      <c r="S18" s="42"/>
      <c r="T18" s="42"/>
      <c r="U18" s="42"/>
      <c r="V18" s="42"/>
      <c r="W18" s="99"/>
      <c r="X18" s="99"/>
      <c r="Y18" s="99"/>
      <c r="Z18" s="87"/>
      <c r="AA18" s="42"/>
      <c r="AB18" s="42"/>
      <c r="AC18" s="42"/>
      <c r="AD18" s="42"/>
      <c r="AE18" s="42"/>
      <c r="AF18" s="42"/>
      <c r="AG18" s="42"/>
      <c r="AH18" s="42"/>
      <c r="AI18" s="42"/>
      <c r="AJ18" s="42"/>
      <c r="AK18" s="42"/>
      <c r="AL18" s="42"/>
      <c r="AM18" s="42"/>
      <c r="AN18" s="42"/>
      <c r="AO18" s="42"/>
      <c r="AP18" s="42"/>
      <c r="AQ18" s="42"/>
      <c r="AR18" s="42"/>
      <c r="AS18" s="106"/>
      <c r="AT18" s="42"/>
      <c r="AU18" s="42"/>
      <c r="AV18" s="42"/>
      <c r="AW18" s="42"/>
      <c r="AX18" s="42"/>
      <c r="AY18" s="42"/>
      <c r="AZ18" s="42"/>
      <c r="BA18" s="42"/>
      <c r="BB18" s="42"/>
      <c r="BC18" s="42"/>
      <c r="BD18" s="42"/>
      <c r="BE18" s="42"/>
      <c r="BF18" s="42"/>
      <c r="BG18" s="42"/>
      <c r="BH18" s="42"/>
      <c r="BI18" s="42"/>
      <c r="BJ18" s="42"/>
      <c r="BK18" s="42"/>
      <c r="BL18" s="42"/>
    </row>
    <row r="19" spans="1:64" s="38" customFormat="1" ht="30" customHeight="1" thickBot="1" x14ac:dyDescent="0.3">
      <c r="A19" s="6"/>
      <c r="B19" s="52" t="s">
        <v>35</v>
      </c>
      <c r="C19" s="53" t="s">
        <v>2</v>
      </c>
      <c r="D19" s="40">
        <v>1</v>
      </c>
      <c r="E19" s="54">
        <f t="shared" ref="E19:E20" si="9">F18+1</f>
        <v>46093</v>
      </c>
      <c r="F19" s="54">
        <f t="shared" si="8"/>
        <v>46094</v>
      </c>
      <c r="G19" s="10"/>
      <c r="H19" s="5"/>
      <c r="I19" s="42"/>
      <c r="J19" s="42"/>
      <c r="K19" s="42"/>
      <c r="L19" s="42"/>
      <c r="M19" s="42"/>
      <c r="N19" s="42"/>
      <c r="O19" s="42"/>
      <c r="P19" s="42"/>
      <c r="Q19" s="42"/>
      <c r="R19" s="42"/>
      <c r="S19" s="42"/>
      <c r="T19" s="42"/>
      <c r="U19" s="42"/>
      <c r="V19" s="42"/>
      <c r="W19" s="99"/>
      <c r="X19"/>
      <c r="Y19" s="99"/>
      <c r="Z19" s="87"/>
      <c r="AA19" s="42"/>
      <c r="AB19" s="42"/>
      <c r="AC19" s="42"/>
      <c r="AD19" s="42"/>
      <c r="AE19" s="42"/>
      <c r="AF19" s="42"/>
      <c r="AG19" s="42"/>
      <c r="AH19" s="42"/>
      <c r="AI19" s="42"/>
      <c r="AJ19" s="42"/>
      <c r="AK19" s="42"/>
      <c r="AL19" s="42"/>
      <c r="AM19" s="42"/>
      <c r="AN19" s="42"/>
      <c r="AO19" s="42"/>
      <c r="AP19" s="42"/>
      <c r="AQ19" s="42"/>
      <c r="AR19" s="42"/>
      <c r="AS19" s="106"/>
      <c r="AT19" s="42"/>
      <c r="AU19" s="42"/>
      <c r="AV19" s="42"/>
      <c r="AW19" s="42"/>
      <c r="AX19" s="42"/>
      <c r="AY19" s="42"/>
      <c r="AZ19" s="42"/>
      <c r="BA19" s="42"/>
      <c r="BB19" s="42"/>
      <c r="BC19" s="42"/>
      <c r="BD19" s="42"/>
      <c r="BE19" s="42"/>
      <c r="BF19" s="42"/>
      <c r="BG19" s="42"/>
      <c r="BH19" s="42"/>
      <c r="BI19" s="42"/>
      <c r="BJ19" s="42"/>
      <c r="BK19" s="42"/>
      <c r="BL19" s="42"/>
    </row>
    <row r="20" spans="1:64" s="38" customFormat="1" ht="30" customHeight="1" thickBot="1" x14ac:dyDescent="0.3">
      <c r="A20" s="6"/>
      <c r="B20" s="52" t="s">
        <v>38</v>
      </c>
      <c r="C20" s="53" t="s">
        <v>2</v>
      </c>
      <c r="D20" s="40">
        <v>1</v>
      </c>
      <c r="E20" s="54">
        <f t="shared" si="9"/>
        <v>46095</v>
      </c>
      <c r="F20" s="54">
        <f>E20+5</f>
        <v>46100</v>
      </c>
      <c r="G20" s="10"/>
      <c r="H20" s="5"/>
      <c r="I20" s="42"/>
      <c r="J20" s="42"/>
      <c r="K20" s="42"/>
      <c r="L20" s="42"/>
      <c r="M20" s="42"/>
      <c r="N20" s="42"/>
      <c r="O20" s="42"/>
      <c r="P20" s="42"/>
      <c r="Q20" s="42"/>
      <c r="R20" s="42"/>
      <c r="S20" s="42"/>
      <c r="T20" s="42"/>
      <c r="U20" s="42"/>
      <c r="V20" s="42"/>
      <c r="W20" s="99"/>
      <c r="X20"/>
      <c r="Y20" s="99"/>
      <c r="Z20" s="87"/>
      <c r="AA20" s="42"/>
      <c r="AB20" s="42"/>
      <c r="AC20" s="42"/>
      <c r="AD20" s="42"/>
      <c r="AE20" s="42"/>
      <c r="AF20" s="42"/>
      <c r="AG20" s="42"/>
      <c r="AH20" s="42"/>
      <c r="AI20" s="42"/>
      <c r="AJ20" s="42"/>
      <c r="AK20" s="42"/>
      <c r="AL20" s="42"/>
      <c r="AM20" s="42"/>
      <c r="AN20" s="42"/>
      <c r="AO20" s="42"/>
      <c r="AP20" s="42"/>
      <c r="AQ20" s="42"/>
      <c r="AR20" s="42"/>
      <c r="AS20" s="106"/>
      <c r="AT20" s="42"/>
      <c r="AU20" s="42"/>
      <c r="AV20" s="42"/>
      <c r="AW20" s="42"/>
      <c r="AX20" s="42"/>
      <c r="AY20" s="42"/>
      <c r="AZ20" s="42"/>
      <c r="BA20" s="42"/>
      <c r="BB20" s="42"/>
      <c r="BC20" s="42"/>
      <c r="BD20" s="42"/>
      <c r="BE20" s="42"/>
      <c r="BF20" s="42"/>
      <c r="BG20" s="42"/>
      <c r="BH20" s="42"/>
      <c r="BI20" s="42"/>
      <c r="BJ20" s="42"/>
      <c r="BK20" s="42"/>
      <c r="BL20" s="42"/>
    </row>
    <row r="21" spans="1:64" s="38" customFormat="1" ht="30" customHeight="1" thickBot="1" x14ac:dyDescent="0.3">
      <c r="A21" s="6"/>
      <c r="B21" s="55" t="s">
        <v>14</v>
      </c>
      <c r="C21" s="56"/>
      <c r="D21" s="57"/>
      <c r="E21" s="58"/>
      <c r="F21" s="59"/>
      <c r="G21" s="10"/>
      <c r="H21" s="5" t="str">
        <f t="shared" si="5"/>
        <v/>
      </c>
      <c r="I21" s="60"/>
      <c r="J21" s="60"/>
      <c r="K21" s="60"/>
      <c r="L21" s="60"/>
      <c r="M21" s="60"/>
      <c r="N21" s="60"/>
      <c r="O21" s="60"/>
      <c r="P21" s="60"/>
      <c r="Q21" s="60"/>
      <c r="R21" s="60"/>
      <c r="S21" s="60"/>
      <c r="T21" s="60"/>
      <c r="U21" s="60"/>
      <c r="V21" s="60"/>
      <c r="W21" s="60"/>
      <c r="X21" s="94"/>
      <c r="Y21" s="60"/>
      <c r="Z21" s="89"/>
      <c r="AA21" s="60"/>
      <c r="AB21" s="60"/>
      <c r="AC21" s="60"/>
      <c r="AD21" s="60"/>
      <c r="AE21" s="60"/>
      <c r="AF21" s="60"/>
      <c r="AG21" s="60"/>
      <c r="AH21" s="60"/>
      <c r="AI21" s="60"/>
      <c r="AJ21" s="60"/>
      <c r="AK21" s="60"/>
      <c r="AL21" s="60"/>
      <c r="AM21" s="60"/>
      <c r="AN21" s="60"/>
      <c r="AO21" s="60"/>
      <c r="AP21" s="60"/>
      <c r="AQ21" s="60"/>
      <c r="AR21" s="60"/>
      <c r="AS21" s="108"/>
      <c r="AT21" s="60"/>
      <c r="AU21" s="60"/>
      <c r="AV21" s="60"/>
      <c r="AW21" s="60"/>
      <c r="AX21" s="60"/>
      <c r="AY21" s="60"/>
      <c r="AZ21" s="60"/>
      <c r="BA21" s="60"/>
      <c r="BB21" s="60"/>
      <c r="BC21" s="60"/>
      <c r="BD21" s="60"/>
      <c r="BE21" s="60"/>
      <c r="BF21" s="60"/>
      <c r="BG21" s="60"/>
      <c r="BH21" s="60"/>
      <c r="BI21" s="60"/>
      <c r="BJ21" s="60"/>
      <c r="BK21" s="60"/>
      <c r="BL21" s="60"/>
    </row>
    <row r="22" spans="1:64" s="38" customFormat="1" ht="30" customHeight="1" thickBot="1" x14ac:dyDescent="0.3">
      <c r="A22" s="6"/>
      <c r="B22" s="61" t="s">
        <v>15</v>
      </c>
      <c r="C22" s="62" t="s">
        <v>2</v>
      </c>
      <c r="D22" s="63">
        <v>0.8</v>
      </c>
      <c r="E22" s="64">
        <f>F20+1</f>
        <v>46101</v>
      </c>
      <c r="F22" s="64">
        <f>E22+1</f>
        <v>46102</v>
      </c>
      <c r="G22" s="10"/>
      <c r="H22" s="5"/>
      <c r="I22" s="42"/>
      <c r="J22" s="42"/>
      <c r="K22" s="42"/>
      <c r="L22" s="42"/>
      <c r="M22" s="42"/>
      <c r="N22" s="42"/>
      <c r="O22" s="42"/>
      <c r="P22" s="42"/>
      <c r="Q22" s="42"/>
      <c r="R22" s="42"/>
      <c r="S22" s="42"/>
      <c r="T22" s="42"/>
      <c r="U22" s="42"/>
      <c r="V22" s="42"/>
      <c r="W22" s="99"/>
      <c r="X22" s="96"/>
      <c r="Y22" s="99"/>
      <c r="Z22" s="87"/>
      <c r="AA22" s="42"/>
      <c r="AB22" s="42"/>
      <c r="AC22" s="42"/>
      <c r="AD22" s="42"/>
      <c r="AE22" s="42"/>
      <c r="AF22" s="42"/>
      <c r="AG22" s="42"/>
      <c r="AH22" s="42"/>
      <c r="AI22" s="42"/>
      <c r="AJ22" s="42"/>
      <c r="AK22" s="42"/>
      <c r="AL22" s="42"/>
      <c r="AM22" s="42"/>
      <c r="AN22" s="42"/>
      <c r="AO22" s="42"/>
      <c r="AP22" s="42"/>
      <c r="AQ22" s="42"/>
      <c r="AR22" s="42"/>
      <c r="AS22" s="106"/>
      <c r="AT22" s="42"/>
      <c r="AU22" s="42"/>
      <c r="AV22" s="42"/>
      <c r="AW22" s="42"/>
      <c r="AX22" s="42"/>
      <c r="AY22" s="42"/>
      <c r="AZ22" s="42"/>
      <c r="BA22" s="42"/>
      <c r="BB22" s="42"/>
      <c r="BC22" s="42"/>
      <c r="BD22" s="42"/>
      <c r="BE22" s="42"/>
      <c r="BF22" s="42"/>
      <c r="BG22" s="42"/>
      <c r="BH22" s="42"/>
      <c r="BI22" s="42"/>
      <c r="BJ22" s="42"/>
      <c r="BK22" s="42"/>
      <c r="BL22" s="42"/>
    </row>
    <row r="23" spans="1:64" s="38" customFormat="1" ht="30" customHeight="1" thickBot="1" x14ac:dyDescent="0.3">
      <c r="A23" s="6"/>
      <c r="B23" s="61" t="s">
        <v>16</v>
      </c>
      <c r="C23" s="62" t="s">
        <v>2</v>
      </c>
      <c r="D23" s="63">
        <v>0.9</v>
      </c>
      <c r="E23" s="64">
        <f>F22+1</f>
        <v>46103</v>
      </c>
      <c r="F23" s="64">
        <f>E23+1</f>
        <v>46104</v>
      </c>
      <c r="G23" s="10"/>
      <c r="H23" s="5"/>
      <c r="I23" s="42"/>
      <c r="J23" s="42"/>
      <c r="K23" s="42"/>
      <c r="L23" s="42"/>
      <c r="M23" s="42"/>
      <c r="N23" s="42"/>
      <c r="O23" s="42"/>
      <c r="P23" s="42"/>
      <c r="Q23" s="42"/>
      <c r="R23" s="42"/>
      <c r="S23" s="42"/>
      <c r="T23" s="42"/>
      <c r="U23" s="42"/>
      <c r="V23" s="42"/>
      <c r="W23" s="99"/>
      <c r="X23" s="96"/>
      <c r="Y23" s="99"/>
      <c r="Z23" s="87"/>
      <c r="AA23" s="42"/>
      <c r="AB23" s="42"/>
      <c r="AC23" s="42"/>
      <c r="AD23" s="42"/>
      <c r="AE23" s="42"/>
      <c r="AF23" s="42"/>
      <c r="AG23" s="42"/>
      <c r="AH23" s="42"/>
      <c r="AI23" s="42"/>
      <c r="AJ23" s="42"/>
      <c r="AK23" s="42"/>
      <c r="AL23" s="42"/>
      <c r="AM23" s="42"/>
      <c r="AN23" s="42"/>
      <c r="AO23" s="42"/>
      <c r="AP23" s="42"/>
      <c r="AQ23" s="42"/>
      <c r="AR23" s="42"/>
      <c r="AS23" s="106"/>
      <c r="AT23" s="42"/>
      <c r="AU23" s="42"/>
      <c r="AV23" s="42"/>
      <c r="AW23" s="42"/>
      <c r="AX23" s="42"/>
      <c r="AY23" s="42"/>
      <c r="AZ23" s="42"/>
      <c r="BA23" s="42"/>
      <c r="BB23" s="42"/>
      <c r="BC23" s="42"/>
      <c r="BD23" s="42"/>
      <c r="BE23" s="42"/>
      <c r="BF23" s="42"/>
      <c r="BG23" s="42"/>
      <c r="BH23" s="42"/>
      <c r="BI23" s="42"/>
      <c r="BJ23" s="42"/>
      <c r="BK23" s="42"/>
      <c r="BL23" s="42"/>
    </row>
    <row r="24" spans="1:64" s="38" customFormat="1" ht="30" customHeight="1" thickBot="1" x14ac:dyDescent="0.3">
      <c r="A24" s="6"/>
      <c r="B24" s="61" t="s">
        <v>17</v>
      </c>
      <c r="C24" s="62" t="s">
        <v>2</v>
      </c>
      <c r="D24" s="63">
        <v>1</v>
      </c>
      <c r="E24" s="64">
        <f>F23+1</f>
        <v>46105</v>
      </c>
      <c r="F24" s="64">
        <f>E24+3</f>
        <v>46108</v>
      </c>
      <c r="G24" s="10"/>
      <c r="H24" s="5"/>
      <c r="I24" s="42"/>
      <c r="J24" s="42"/>
      <c r="K24" s="42"/>
      <c r="L24" s="42"/>
      <c r="M24" s="42"/>
      <c r="N24" s="42"/>
      <c r="O24" s="42"/>
      <c r="P24" s="42"/>
      <c r="Q24" s="42"/>
      <c r="R24" s="42"/>
      <c r="S24" s="42"/>
      <c r="T24" s="42"/>
      <c r="U24" s="42"/>
      <c r="V24" s="42"/>
      <c r="W24" s="99"/>
      <c r="X24" s="96"/>
      <c r="Y24" s="99"/>
      <c r="Z24" s="87"/>
      <c r="AA24" s="42"/>
      <c r="AB24" s="42"/>
      <c r="AC24" s="42"/>
      <c r="AD24" s="42"/>
      <c r="AE24" s="42"/>
      <c r="AF24" s="42"/>
      <c r="AG24" s="42"/>
      <c r="AH24" s="42"/>
      <c r="AI24" s="42"/>
      <c r="AJ24" s="42"/>
      <c r="AK24" s="42"/>
      <c r="AL24" s="42"/>
      <c r="AM24" s="42"/>
      <c r="AN24" s="42"/>
      <c r="AO24" s="42"/>
      <c r="AP24" s="42"/>
      <c r="AQ24" s="42"/>
      <c r="AR24" s="42"/>
      <c r="AS24" s="106"/>
      <c r="AT24" s="42"/>
      <c r="AU24" s="42"/>
      <c r="AV24" s="42"/>
      <c r="AW24" s="42"/>
      <c r="AX24" s="42"/>
      <c r="AY24" s="42"/>
      <c r="AZ24" s="42"/>
      <c r="BA24" s="42"/>
      <c r="BB24" s="42"/>
      <c r="BC24" s="42"/>
      <c r="BD24" s="42"/>
      <c r="BE24" s="42"/>
      <c r="BF24" s="42"/>
      <c r="BG24" s="42"/>
      <c r="BH24" s="42"/>
      <c r="BI24" s="42"/>
      <c r="BJ24" s="42"/>
      <c r="BK24" s="42"/>
      <c r="BL24" s="42"/>
    </row>
    <row r="25" spans="1:64" s="38" customFormat="1" ht="30" customHeight="1" thickBot="1" x14ac:dyDescent="0.3">
      <c r="A25" s="6"/>
      <c r="B25" s="61" t="s">
        <v>18</v>
      </c>
      <c r="C25" s="62" t="s">
        <v>2</v>
      </c>
      <c r="D25" s="63">
        <v>0</v>
      </c>
      <c r="E25" s="64">
        <f>E16</f>
        <v>46087</v>
      </c>
      <c r="F25" s="64">
        <f>F20</f>
        <v>46100</v>
      </c>
      <c r="G25" s="10"/>
      <c r="H25" s="5"/>
      <c r="I25" s="42"/>
      <c r="J25" s="42"/>
      <c r="K25" s="42"/>
      <c r="L25" s="42"/>
      <c r="M25" s="42"/>
      <c r="N25" s="42"/>
      <c r="O25" s="42"/>
      <c r="P25" s="42"/>
      <c r="Q25" s="42"/>
      <c r="R25" s="42"/>
      <c r="S25" s="42"/>
      <c r="T25" s="42"/>
      <c r="U25" s="42"/>
      <c r="V25" s="42"/>
      <c r="W25" s="99"/>
      <c r="X25" s="96"/>
      <c r="Y25" s="99"/>
      <c r="Z25" s="87"/>
      <c r="AA25" s="42"/>
      <c r="AB25" s="42"/>
      <c r="AC25" s="42"/>
      <c r="AD25" s="42"/>
      <c r="AE25" s="42"/>
      <c r="AF25" s="42"/>
      <c r="AG25" s="42"/>
      <c r="AH25" s="42"/>
      <c r="AI25" s="42"/>
      <c r="AJ25" s="42"/>
      <c r="AK25" s="42"/>
      <c r="AL25" s="42"/>
      <c r="AM25" s="42"/>
      <c r="AN25" s="42"/>
      <c r="AO25" s="42"/>
      <c r="AP25" s="42"/>
      <c r="AQ25" s="42"/>
      <c r="AR25" s="42"/>
      <c r="AS25" s="106"/>
      <c r="AT25" s="42"/>
      <c r="AU25" s="42"/>
      <c r="AV25" s="42"/>
      <c r="AW25" s="42"/>
      <c r="AX25" s="42"/>
      <c r="AY25" s="42"/>
      <c r="AZ25" s="42"/>
      <c r="BA25" s="42"/>
      <c r="BB25" s="42"/>
      <c r="BC25" s="42"/>
      <c r="BD25" s="42"/>
      <c r="BE25" s="42"/>
      <c r="BF25" s="42"/>
      <c r="BG25" s="42"/>
      <c r="BH25" s="42"/>
      <c r="BI25" s="42"/>
      <c r="BJ25" s="42"/>
      <c r="BK25" s="42"/>
      <c r="BL25" s="42"/>
    </row>
    <row r="26" spans="1:64" s="38" customFormat="1" ht="30" customHeight="1" thickBot="1" x14ac:dyDescent="0.3">
      <c r="A26" s="6"/>
      <c r="B26" s="61" t="s">
        <v>19</v>
      </c>
      <c r="C26" s="62" t="s">
        <v>2</v>
      </c>
      <c r="D26" s="63">
        <v>1</v>
      </c>
      <c r="E26" s="64">
        <f>E9+3</f>
        <v>46082</v>
      </c>
      <c r="F26" s="64">
        <f>E26+5</f>
        <v>46087</v>
      </c>
      <c r="G26" s="10"/>
      <c r="H26" s="5"/>
      <c r="I26" s="42"/>
      <c r="J26" s="42"/>
      <c r="K26" s="42"/>
      <c r="L26" s="42"/>
      <c r="M26" s="42"/>
      <c r="N26" s="42"/>
      <c r="O26" s="42"/>
      <c r="P26" s="42"/>
      <c r="Q26" s="42"/>
      <c r="R26" s="42"/>
      <c r="S26" s="42"/>
      <c r="T26" s="42"/>
      <c r="U26" s="42"/>
      <c r="V26" s="42"/>
      <c r="W26" s="99"/>
      <c r="X26" s="96"/>
      <c r="Y26" s="99"/>
      <c r="Z26" s="87"/>
      <c r="AA26" s="42"/>
      <c r="AB26" s="42"/>
      <c r="AC26" s="42"/>
      <c r="AD26" s="42"/>
      <c r="AE26" s="42"/>
      <c r="AF26" s="42"/>
      <c r="AG26" s="42"/>
      <c r="AH26" s="42"/>
      <c r="AI26" s="42"/>
      <c r="AJ26" s="42"/>
      <c r="AK26" s="42"/>
      <c r="AL26" s="42"/>
      <c r="AM26" s="42"/>
      <c r="AN26" s="42"/>
      <c r="AO26" s="42"/>
      <c r="AP26" s="42"/>
      <c r="AQ26" s="42"/>
      <c r="AR26" s="42"/>
      <c r="AS26" s="106"/>
      <c r="AT26" s="42"/>
      <c r="AU26" s="42"/>
      <c r="AV26" s="42"/>
      <c r="AW26" s="42"/>
      <c r="AX26" s="42"/>
      <c r="AY26" s="42"/>
      <c r="AZ26" s="42"/>
      <c r="BA26" s="42"/>
      <c r="BB26" s="42"/>
      <c r="BC26" s="42"/>
      <c r="BD26" s="42"/>
      <c r="BE26" s="42"/>
      <c r="BF26" s="42"/>
      <c r="BG26" s="42"/>
      <c r="BH26" s="42"/>
      <c r="BI26" s="42"/>
      <c r="BJ26" s="42"/>
      <c r="BK26" s="42"/>
      <c r="BL26" s="42"/>
    </row>
    <row r="27" spans="1:64" s="38" customFormat="1" ht="30" customHeight="1" thickBot="1" x14ac:dyDescent="0.3">
      <c r="A27" s="6"/>
      <c r="B27" s="61" t="s">
        <v>20</v>
      </c>
      <c r="C27" s="62" t="s">
        <v>2</v>
      </c>
      <c r="D27" s="63">
        <v>0</v>
      </c>
      <c r="E27" s="64">
        <f>AI1-2</f>
        <v>46110</v>
      </c>
      <c r="F27" s="64">
        <f>E27+2</f>
        <v>46112</v>
      </c>
      <c r="G27" s="10"/>
      <c r="H27" s="5"/>
      <c r="I27" s="42"/>
      <c r="J27" s="42"/>
      <c r="K27" s="42"/>
      <c r="L27" s="42"/>
      <c r="M27" s="42"/>
      <c r="N27" s="42"/>
      <c r="O27" s="42"/>
      <c r="P27" s="42"/>
      <c r="Q27" s="42"/>
      <c r="R27" s="42"/>
      <c r="S27" s="42"/>
      <c r="T27" s="42"/>
      <c r="U27" s="42"/>
      <c r="V27" s="42"/>
      <c r="W27" s="99"/>
      <c r="X27" s="96"/>
      <c r="Y27" s="99"/>
      <c r="Z27" s="87"/>
      <c r="AA27" s="42"/>
      <c r="AB27" s="42"/>
      <c r="AC27" s="42"/>
      <c r="AD27" s="42"/>
      <c r="AE27" s="42"/>
      <c r="AF27" s="42"/>
      <c r="AG27" s="42"/>
      <c r="AH27" s="42"/>
      <c r="AI27" s="42"/>
      <c r="AJ27" s="42"/>
      <c r="AK27" s="42"/>
      <c r="AL27" s="42"/>
      <c r="AM27" s="42"/>
      <c r="AN27" s="42"/>
      <c r="AO27" s="42"/>
      <c r="AP27" s="42"/>
      <c r="AQ27" s="42"/>
      <c r="AR27" s="42"/>
      <c r="AS27" s="106"/>
      <c r="AT27" s="42"/>
      <c r="AU27" s="42"/>
      <c r="AV27" s="42"/>
      <c r="AW27" s="42"/>
      <c r="AX27" s="42"/>
      <c r="AY27" s="42"/>
      <c r="AZ27" s="42"/>
      <c r="BA27" s="42"/>
      <c r="BB27" s="42"/>
      <c r="BC27" s="42"/>
      <c r="BD27" s="42"/>
      <c r="BE27" s="42"/>
      <c r="BF27" s="42"/>
      <c r="BG27" s="42"/>
      <c r="BH27" s="42"/>
      <c r="BI27" s="42"/>
      <c r="BJ27" s="42"/>
      <c r="BK27" s="42"/>
      <c r="BL27" s="42"/>
    </row>
    <row r="28" spans="1:64" s="38" customFormat="1" ht="30" customHeight="1" thickBot="1" x14ac:dyDescent="0.3">
      <c r="A28" s="6"/>
      <c r="B28" s="65" t="s">
        <v>21</v>
      </c>
      <c r="C28" s="66"/>
      <c r="D28" s="67"/>
      <c r="E28" s="68"/>
      <c r="F28" s="69"/>
      <c r="G28" s="10"/>
      <c r="H28" s="5" t="str">
        <f t="shared" si="5"/>
        <v/>
      </c>
      <c r="I28" s="70"/>
      <c r="J28" s="70"/>
      <c r="K28" s="70"/>
      <c r="L28" s="70"/>
      <c r="M28" s="70"/>
      <c r="N28" s="70"/>
      <c r="O28" s="70"/>
      <c r="P28" s="70"/>
      <c r="Q28" s="70"/>
      <c r="R28" s="70"/>
      <c r="S28" s="70"/>
      <c r="T28" s="70"/>
      <c r="U28" s="70"/>
      <c r="V28" s="70"/>
      <c r="W28" s="70"/>
      <c r="X28" s="93"/>
      <c r="Y28" s="70"/>
      <c r="Z28" s="90"/>
      <c r="AA28" s="70"/>
      <c r="AB28" s="70"/>
      <c r="AC28" s="70"/>
      <c r="AD28" s="70"/>
      <c r="AE28" s="70"/>
      <c r="AF28" s="70"/>
      <c r="AG28" s="70"/>
      <c r="AH28" s="70"/>
      <c r="AI28" s="70"/>
      <c r="AJ28" s="70"/>
      <c r="AK28" s="70"/>
      <c r="AL28" s="70"/>
      <c r="AM28" s="70"/>
      <c r="AN28" s="70"/>
      <c r="AO28" s="70"/>
      <c r="AP28" s="70"/>
      <c r="AQ28" s="70"/>
      <c r="AR28" s="70"/>
      <c r="AS28" s="109"/>
      <c r="AT28" s="70"/>
      <c r="AU28" s="70"/>
      <c r="AV28" s="70"/>
      <c r="AW28" s="70"/>
      <c r="AX28" s="70"/>
      <c r="AY28" s="70"/>
      <c r="AZ28" s="70"/>
      <c r="BA28" s="70"/>
      <c r="BB28" s="70"/>
      <c r="BC28" s="70"/>
      <c r="BD28" s="70"/>
      <c r="BE28" s="70"/>
      <c r="BF28" s="70"/>
      <c r="BG28" s="70"/>
      <c r="BH28" s="70"/>
      <c r="BI28" s="70"/>
      <c r="BJ28" s="70"/>
      <c r="BK28" s="70"/>
      <c r="BL28" s="70"/>
    </row>
    <row r="29" spans="1:64" s="38" customFormat="1" ht="30" customHeight="1" thickBot="1" x14ac:dyDescent="0.3">
      <c r="A29" s="6"/>
      <c r="B29" s="71" t="s">
        <v>22</v>
      </c>
      <c r="C29" s="72" t="s">
        <v>2</v>
      </c>
      <c r="D29" s="73">
        <v>0.8</v>
      </c>
      <c r="E29" s="74">
        <f>E9</f>
        <v>46079</v>
      </c>
      <c r="F29" s="74">
        <f>AI1-1</f>
        <v>46111</v>
      </c>
      <c r="G29" s="10"/>
      <c r="H29" s="5">
        <f t="shared" si="5"/>
        <v>33</v>
      </c>
      <c r="I29" s="42"/>
      <c r="J29" s="42"/>
      <c r="K29" s="42"/>
      <c r="L29" s="42"/>
      <c r="M29" s="42"/>
      <c r="N29" s="42"/>
      <c r="O29" s="42"/>
      <c r="P29" s="42"/>
      <c r="Q29" s="42"/>
      <c r="R29" s="42"/>
      <c r="S29" s="42"/>
      <c r="T29" s="42"/>
      <c r="U29" s="42"/>
      <c r="V29" s="42"/>
      <c r="W29" s="99"/>
      <c r="X29" s="96"/>
      <c r="Y29" s="99"/>
      <c r="Z29" s="87"/>
      <c r="AA29" s="42"/>
      <c r="AB29" s="42"/>
      <c r="AC29" s="42"/>
      <c r="AD29" s="42"/>
      <c r="AE29" s="42"/>
      <c r="AF29" s="42"/>
      <c r="AG29" s="42"/>
      <c r="AH29" s="42"/>
      <c r="AI29" s="42"/>
      <c r="AJ29" s="42"/>
      <c r="AK29" s="42"/>
      <c r="AL29" s="42"/>
      <c r="AM29" s="42"/>
      <c r="AN29" s="42"/>
      <c r="AO29" s="42"/>
      <c r="AP29" s="42"/>
      <c r="AQ29" s="42"/>
      <c r="AR29" s="42"/>
      <c r="AS29" s="106"/>
      <c r="AT29" s="42"/>
      <c r="AU29" s="42"/>
      <c r="AV29" s="42"/>
      <c r="AW29" s="42"/>
      <c r="AX29" s="42"/>
      <c r="AY29" s="42"/>
      <c r="AZ29" s="42"/>
      <c r="BA29" s="42"/>
      <c r="BB29" s="42"/>
      <c r="BC29" s="42"/>
      <c r="BD29" s="42"/>
      <c r="BE29" s="42"/>
      <c r="BF29" s="42"/>
      <c r="BG29" s="42"/>
      <c r="BH29" s="42"/>
      <c r="BI29" s="42"/>
      <c r="BJ29" s="42"/>
      <c r="BK29" s="42"/>
      <c r="BL29" s="42"/>
    </row>
    <row r="30" spans="1:64" s="38" customFormat="1" ht="30" customHeight="1" thickBot="1" x14ac:dyDescent="0.3">
      <c r="A30" s="6"/>
      <c r="B30" s="71" t="s">
        <v>27</v>
      </c>
      <c r="C30" s="72" t="s">
        <v>2</v>
      </c>
      <c r="D30" s="73">
        <v>0.9</v>
      </c>
      <c r="E30" s="74">
        <f>Project_Start</f>
        <v>46079</v>
      </c>
      <c r="F30" s="74">
        <f>AI1-1</f>
        <v>46111</v>
      </c>
      <c r="G30" s="10"/>
      <c r="H30" s="5"/>
      <c r="I30" s="42"/>
      <c r="J30" s="42"/>
      <c r="K30" s="42"/>
      <c r="L30" s="42"/>
      <c r="M30" s="42"/>
      <c r="N30" s="42"/>
      <c r="O30" s="42"/>
      <c r="P30" s="42"/>
      <c r="Q30" s="42"/>
      <c r="R30" s="42"/>
      <c r="S30" s="42"/>
      <c r="T30" s="42"/>
      <c r="U30" s="42"/>
      <c r="V30" s="42"/>
      <c r="W30" s="99"/>
      <c r="X30" s="96"/>
      <c r="Y30" s="99"/>
      <c r="Z30" s="87"/>
      <c r="AA30" s="42"/>
      <c r="AB30" s="42"/>
      <c r="AC30" s="42"/>
      <c r="AD30" s="42"/>
      <c r="AE30" s="42"/>
      <c r="AF30" s="42"/>
      <c r="AG30" s="42"/>
      <c r="AH30" s="42"/>
      <c r="AI30" s="42"/>
      <c r="AJ30" s="42"/>
      <c r="AK30" s="42"/>
      <c r="AL30" s="42"/>
      <c r="AM30" s="42"/>
      <c r="AN30" s="42"/>
      <c r="AO30" s="42"/>
      <c r="AP30" s="42"/>
      <c r="AQ30" s="42"/>
      <c r="AR30" s="42"/>
      <c r="AS30" s="106"/>
      <c r="AT30" s="42"/>
      <c r="AU30" s="42"/>
      <c r="AV30" s="42"/>
      <c r="AW30" s="42"/>
      <c r="AX30" s="42"/>
      <c r="AY30" s="42"/>
      <c r="AZ30" s="42"/>
      <c r="BA30" s="42"/>
      <c r="BB30" s="42"/>
      <c r="BC30" s="42"/>
      <c r="BD30" s="42"/>
      <c r="BE30" s="42"/>
      <c r="BF30" s="42"/>
      <c r="BG30" s="42"/>
      <c r="BH30" s="42"/>
      <c r="BI30" s="42"/>
      <c r="BJ30" s="42"/>
      <c r="BK30" s="42"/>
      <c r="BL30" s="42"/>
    </row>
    <row r="31" spans="1:64" s="38" customFormat="1" ht="30" customHeight="1" thickBot="1" x14ac:dyDescent="0.3">
      <c r="A31" s="6"/>
      <c r="B31" s="71" t="s">
        <v>23</v>
      </c>
      <c r="C31" s="72" t="s">
        <v>2</v>
      </c>
      <c r="D31" s="73">
        <v>0.8</v>
      </c>
      <c r="E31" s="74">
        <f>E16</f>
        <v>46087</v>
      </c>
      <c r="F31" s="74">
        <f>F27-1</f>
        <v>46111</v>
      </c>
      <c r="G31" s="10"/>
      <c r="H31" s="5">
        <f t="shared" si="5"/>
        <v>25</v>
      </c>
      <c r="I31" s="42"/>
      <c r="J31" s="42"/>
      <c r="K31" s="42"/>
      <c r="L31" s="42"/>
      <c r="M31" s="42"/>
      <c r="N31" s="42"/>
      <c r="O31" s="42"/>
      <c r="P31" s="42"/>
      <c r="Q31" s="42"/>
      <c r="R31" s="42"/>
      <c r="S31" s="42"/>
      <c r="T31" s="42"/>
      <c r="U31" s="42"/>
      <c r="V31" s="42"/>
      <c r="W31" s="99"/>
      <c r="X31" s="96"/>
      <c r="Y31" s="99"/>
      <c r="Z31" s="87"/>
      <c r="AA31" s="42"/>
      <c r="AB31" s="42"/>
      <c r="AC31" s="42"/>
      <c r="AD31" s="42"/>
      <c r="AE31" s="42"/>
      <c r="AF31" s="42"/>
      <c r="AG31" s="42"/>
      <c r="AH31" s="42"/>
      <c r="AI31" s="42"/>
      <c r="AJ31" s="42"/>
      <c r="AK31" s="42"/>
      <c r="AL31" s="42"/>
      <c r="AM31" s="42"/>
      <c r="AN31" s="42"/>
      <c r="AO31" s="42"/>
      <c r="AP31" s="42"/>
      <c r="AQ31" s="42"/>
      <c r="AR31" s="42"/>
      <c r="AS31" s="106"/>
      <c r="AT31" s="42"/>
      <c r="AU31" s="42"/>
      <c r="AV31" s="42"/>
      <c r="AW31" s="42"/>
      <c r="AX31" s="42"/>
      <c r="AY31" s="42"/>
      <c r="AZ31" s="42"/>
      <c r="BA31" s="42"/>
      <c r="BB31" s="42"/>
      <c r="BC31" s="42"/>
      <c r="BD31" s="42"/>
      <c r="BE31" s="42"/>
      <c r="BF31" s="42"/>
      <c r="BG31" s="42"/>
      <c r="BH31" s="42"/>
      <c r="BI31" s="42"/>
      <c r="BJ31" s="42"/>
      <c r="BK31" s="42"/>
      <c r="BL31" s="42"/>
    </row>
    <row r="32" spans="1:64" s="38" customFormat="1" ht="30" customHeight="1" thickBot="1" x14ac:dyDescent="0.3">
      <c r="A32" s="6"/>
      <c r="B32" s="71" t="s">
        <v>24</v>
      </c>
      <c r="C32" s="72" t="s">
        <v>2</v>
      </c>
      <c r="D32" s="73">
        <v>0</v>
      </c>
      <c r="E32" s="74">
        <f>F27</f>
        <v>46112</v>
      </c>
      <c r="F32" s="74">
        <f>E32+5</f>
        <v>46117</v>
      </c>
      <c r="G32" s="10"/>
      <c r="H32" s="5">
        <f t="shared" si="5"/>
        <v>6</v>
      </c>
      <c r="I32" s="42"/>
      <c r="J32" s="42"/>
      <c r="K32" s="42"/>
      <c r="L32" s="42"/>
      <c r="M32" s="42"/>
      <c r="N32" s="42"/>
      <c r="O32" s="42"/>
      <c r="P32" s="42"/>
      <c r="Q32" s="42"/>
      <c r="R32" s="42"/>
      <c r="S32" s="42"/>
      <c r="T32" s="42"/>
      <c r="U32" s="42"/>
      <c r="V32" s="42"/>
      <c r="W32" s="99"/>
      <c r="X32" s="96"/>
      <c r="Y32" s="99"/>
      <c r="Z32" s="87"/>
      <c r="AA32" s="42"/>
      <c r="AB32" s="42"/>
      <c r="AC32" s="42"/>
      <c r="AD32" s="42"/>
      <c r="AE32" s="42"/>
      <c r="AF32" s="42"/>
      <c r="AG32" s="42"/>
      <c r="AH32" s="42"/>
      <c r="AI32" s="42"/>
      <c r="AJ32" s="42"/>
      <c r="AK32" s="42"/>
      <c r="AL32" s="42"/>
      <c r="AM32" s="42"/>
      <c r="AN32" s="42"/>
      <c r="AO32" s="42"/>
      <c r="AP32" s="42"/>
      <c r="AQ32" s="42"/>
      <c r="AR32" s="42"/>
      <c r="AS32" s="106"/>
      <c r="AT32" s="42"/>
      <c r="AU32" s="42"/>
      <c r="AV32" s="42"/>
      <c r="AW32" s="42"/>
      <c r="AX32" s="42"/>
      <c r="AY32" s="42"/>
      <c r="AZ32" s="42"/>
      <c r="BA32" s="42"/>
      <c r="BB32" s="42"/>
      <c r="BC32" s="42"/>
      <c r="BD32" s="42"/>
      <c r="BE32" s="42"/>
      <c r="BF32" s="42"/>
      <c r="BG32" s="42"/>
      <c r="BH32" s="42"/>
      <c r="BI32" s="42"/>
      <c r="BJ32" s="42"/>
      <c r="BK32" s="42"/>
      <c r="BL32" s="42"/>
    </row>
    <row r="33" spans="1:64" s="38" customFormat="1" ht="30" customHeight="1" thickBot="1" x14ac:dyDescent="0.3">
      <c r="A33" s="6"/>
      <c r="B33" s="75"/>
      <c r="C33" s="76"/>
      <c r="D33" s="77"/>
      <c r="E33" s="78"/>
      <c r="F33" s="78"/>
      <c r="G33" s="10"/>
      <c r="H33" s="5" t="str">
        <f t="shared" si="5"/>
        <v/>
      </c>
      <c r="I33" s="37"/>
      <c r="J33" s="37"/>
      <c r="K33" s="37"/>
      <c r="L33" s="37"/>
      <c r="M33" s="37"/>
      <c r="N33" s="37"/>
      <c r="O33" s="37"/>
      <c r="P33" s="37"/>
      <c r="Q33" s="37"/>
      <c r="R33" s="37"/>
      <c r="S33" s="37"/>
      <c r="T33" s="37"/>
      <c r="U33" s="37"/>
      <c r="V33" s="37"/>
      <c r="W33" s="37"/>
      <c r="X33" s="98"/>
      <c r="Y33" s="37"/>
      <c r="Z33" s="86"/>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row>
    <row r="34" spans="1:64" ht="30" customHeight="1" x14ac:dyDescent="0.25">
      <c r="G34" s="3"/>
    </row>
    <row r="35" spans="1:64" ht="30" customHeight="1" x14ac:dyDescent="0.25">
      <c r="C35" s="9"/>
      <c r="F35" s="8"/>
    </row>
    <row r="36" spans="1:64" ht="30" customHeight="1" x14ac:dyDescent="0.25">
      <c r="C36" s="4"/>
    </row>
  </sheetData>
  <mergeCells count="20">
    <mergeCell ref="BF4:BL4"/>
    <mergeCell ref="I4:O4"/>
    <mergeCell ref="P4:V4"/>
    <mergeCell ref="W4:AC4"/>
    <mergeCell ref="AD4:AJ4"/>
    <mergeCell ref="AK4:AQ4"/>
    <mergeCell ref="AR4:AX4"/>
    <mergeCell ref="AY4:BE4"/>
    <mergeCell ref="AA1:AG1"/>
    <mergeCell ref="AI1:AR1"/>
    <mergeCell ref="A5:A6"/>
    <mergeCell ref="B5:B6"/>
    <mergeCell ref="C5:C6"/>
    <mergeCell ref="D5:D6"/>
    <mergeCell ref="E5:E6"/>
    <mergeCell ref="F5:F6"/>
    <mergeCell ref="Q2:Z2"/>
    <mergeCell ref="Q1:Z1"/>
    <mergeCell ref="I1:O1"/>
    <mergeCell ref="I2:O2"/>
  </mergeCells>
  <phoneticPr fontId="23" type="noConversion"/>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2 I13:P13 S13:BL13 I14:BL17 X18 I18:W20 Y18:BL20 I21:BL32">
    <cfRule type="expression" dxfId="8" priority="1">
      <formula>AND(TODAY()&gt;=I$5, TODAY()&lt;J$5)</formula>
    </cfRule>
  </conditionalFormatting>
  <conditionalFormatting sqref="I9:BL12 I13:P13 S13:BL13 I14:BL14">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6:BL17 X18 I18:W20 Y18:BL20">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2:BL27">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9: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2"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3: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8"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Michael Mccarthy</cp:lastModifiedBy>
  <cp:revision/>
  <dcterms:created xsi:type="dcterms:W3CDTF">2022-03-11T22:41:12Z</dcterms:created>
  <dcterms:modified xsi:type="dcterms:W3CDTF">2026-03-31T09:20:21Z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